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viktor/Documents/Claude/Projects/Центр ракеточных видов спорта/"/>
    </mc:Choice>
  </mc:AlternateContent>
  <xr:revisionPtr revIDLastSave="0" documentId="13_ncr:1_{14899078-EEDC-1849-B608-88ADBBA20D1F}" xr6:coauthVersionLast="47" xr6:coauthVersionMax="47" xr10:uidLastSave="{00000000-0000-0000-0000-000000000000}"/>
  <bookViews>
    <workbookView xWindow="0" yWindow="660" windowWidth="16380" windowHeight="8200" tabRatio="500" activeTab="8" xr2:uid="{00000000-000D-0000-FFFF-FFFF00000000}"/>
  </bookViews>
  <sheets>
    <sheet name="Сводка" sheetId="1" r:id="rId1"/>
    <sheet name="Допущения" sheetId="2" r:id="rId2"/>
    <sheet name="CAPEX" sheetId="3" r:id="rId3"/>
    <sheet name="Персонал" sheetId="4" r:id="rId4"/>
    <sheet name="Выручка" sheetId="5" r:id="rId5"/>
    <sheet name="OPEX" sheetId="6" r:id="rId6"/>
    <sheet name="PL" sheetId="7" r:id="rId7"/>
    <sheet name="ДДС" sheetId="8" r:id="rId8"/>
    <sheet name="Сценарии" sheetId="9" r:id="rId9"/>
    <sheet name="Оптимизация" sheetId="10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0" i="8" l="1"/>
  <c r="K10" i="8"/>
  <c r="J10" i="8"/>
  <c r="I10" i="8"/>
  <c r="H10" i="8"/>
  <c r="G10" i="8"/>
  <c r="F10" i="8"/>
  <c r="E10" i="8"/>
  <c r="D10" i="8"/>
  <c r="C10" i="8"/>
  <c r="C7" i="8"/>
  <c r="C31" i="7"/>
  <c r="C16" i="6"/>
  <c r="L13" i="6"/>
  <c r="D13" i="6"/>
  <c r="L11" i="6"/>
  <c r="K11" i="6"/>
  <c r="H11" i="6"/>
  <c r="D9" i="6"/>
  <c r="L8" i="6"/>
  <c r="K6" i="6"/>
  <c r="L5" i="6"/>
  <c r="F4" i="6"/>
  <c r="D4" i="6"/>
  <c r="I62" i="5"/>
  <c r="G62" i="5"/>
  <c r="F62" i="5"/>
  <c r="J54" i="5"/>
  <c r="C54" i="5"/>
  <c r="L49" i="5"/>
  <c r="K49" i="5"/>
  <c r="J49" i="5"/>
  <c r="I49" i="5"/>
  <c r="H49" i="5"/>
  <c r="G49" i="5"/>
  <c r="F49" i="5"/>
  <c r="E49" i="5"/>
  <c r="D49" i="5"/>
  <c r="C49" i="5"/>
  <c r="L41" i="5"/>
  <c r="K41" i="5"/>
  <c r="J41" i="5"/>
  <c r="I41" i="5"/>
  <c r="H41" i="5"/>
  <c r="G41" i="5"/>
  <c r="F41" i="5"/>
  <c r="E41" i="5"/>
  <c r="D41" i="5"/>
  <c r="C41" i="5"/>
  <c r="E39" i="5"/>
  <c r="D39" i="5"/>
  <c r="K38" i="5"/>
  <c r="J38" i="5"/>
  <c r="L31" i="5"/>
  <c r="K31" i="5"/>
  <c r="J31" i="5"/>
  <c r="I31" i="5"/>
  <c r="H31" i="5"/>
  <c r="G31" i="5"/>
  <c r="F31" i="5"/>
  <c r="E31" i="5"/>
  <c r="D31" i="5"/>
  <c r="C31" i="5"/>
  <c r="J29" i="5"/>
  <c r="H29" i="5"/>
  <c r="F29" i="5"/>
  <c r="L28" i="5"/>
  <c r="J28" i="5"/>
  <c r="J30" i="5" s="1"/>
  <c r="L23" i="5"/>
  <c r="K23" i="5"/>
  <c r="J23" i="5"/>
  <c r="I23" i="5"/>
  <c r="H23" i="5"/>
  <c r="G23" i="5"/>
  <c r="F23" i="5"/>
  <c r="E23" i="5"/>
  <c r="D23" i="5"/>
  <c r="C23" i="5"/>
  <c r="H22" i="5"/>
  <c r="I21" i="5"/>
  <c r="H21" i="5"/>
  <c r="F21" i="5"/>
  <c r="F22" i="5" s="1"/>
  <c r="D21" i="5"/>
  <c r="L20" i="5"/>
  <c r="K20" i="5"/>
  <c r="J20" i="5"/>
  <c r="I20" i="5"/>
  <c r="H20" i="5"/>
  <c r="G20" i="5"/>
  <c r="F20" i="5"/>
  <c r="E20" i="5"/>
  <c r="D20" i="5"/>
  <c r="D22" i="5" s="1"/>
  <c r="C20" i="5"/>
  <c r="L13" i="5"/>
  <c r="K13" i="5"/>
  <c r="J13" i="5"/>
  <c r="I13" i="5"/>
  <c r="H13" i="5"/>
  <c r="G13" i="5"/>
  <c r="F13" i="5"/>
  <c r="E13" i="5"/>
  <c r="D13" i="5"/>
  <c r="C13" i="5"/>
  <c r="L11" i="5"/>
  <c r="J11" i="5"/>
  <c r="H11" i="5"/>
  <c r="F11" i="5"/>
  <c r="L8" i="5"/>
  <c r="L38" i="5" s="1"/>
  <c r="J8" i="5"/>
  <c r="F8" i="5"/>
  <c r="F38" i="5" s="1"/>
  <c r="D8" i="5"/>
  <c r="D38" i="5" s="1"/>
  <c r="D40" i="5" s="1"/>
  <c r="L7" i="5"/>
  <c r="K7" i="5"/>
  <c r="K28" i="5" s="1"/>
  <c r="J7" i="5"/>
  <c r="I7" i="5"/>
  <c r="I28" i="5" s="1"/>
  <c r="L6" i="5"/>
  <c r="L10" i="5" s="1"/>
  <c r="K6" i="5"/>
  <c r="K10" i="5" s="1"/>
  <c r="J6" i="5"/>
  <c r="J10" i="5" s="1"/>
  <c r="J12" i="5" s="1"/>
  <c r="I6" i="5"/>
  <c r="I10" i="5" s="1"/>
  <c r="G6" i="5"/>
  <c r="G10" i="5" s="1"/>
  <c r="F6" i="5"/>
  <c r="F10" i="5" s="1"/>
  <c r="F12" i="5" s="1"/>
  <c r="L5" i="5"/>
  <c r="K5" i="5"/>
  <c r="K8" i="5" s="1"/>
  <c r="J5" i="5"/>
  <c r="I5" i="5"/>
  <c r="I8" i="5" s="1"/>
  <c r="I38" i="5" s="1"/>
  <c r="H5" i="5"/>
  <c r="G5" i="5"/>
  <c r="F5" i="5"/>
  <c r="F7" i="5" s="1"/>
  <c r="F28" i="5" s="1"/>
  <c r="F30" i="5" s="1"/>
  <c r="E5" i="5"/>
  <c r="D5" i="5"/>
  <c r="C5" i="5"/>
  <c r="C7" i="5" s="1"/>
  <c r="C28" i="5" s="1"/>
  <c r="K17" i="4"/>
  <c r="K20" i="7" s="1"/>
  <c r="D11" i="4"/>
  <c r="D10" i="4"/>
  <c r="B13" i="4" s="1"/>
  <c r="C16" i="4" s="1"/>
  <c r="C19" i="7" s="1"/>
  <c r="D9" i="4"/>
  <c r="D8" i="4"/>
  <c r="B12" i="4" s="1"/>
  <c r="E17" i="4" s="1"/>
  <c r="E20" i="7" s="1"/>
  <c r="D7" i="4"/>
  <c r="D6" i="4"/>
  <c r="D5" i="4"/>
  <c r="D4" i="4"/>
  <c r="B21" i="3"/>
  <c r="B20" i="3"/>
  <c r="B19" i="3"/>
  <c r="B22" i="3" s="1"/>
  <c r="B24" i="3" s="1"/>
  <c r="B18" i="3"/>
  <c r="B159" i="2"/>
  <c r="B59" i="2"/>
  <c r="B55" i="2"/>
  <c r="B51" i="2"/>
  <c r="B47" i="2"/>
  <c r="L41" i="2"/>
  <c r="L4" i="6" s="1"/>
  <c r="K41" i="2"/>
  <c r="K4" i="6" s="1"/>
  <c r="J41" i="2"/>
  <c r="J4" i="6" s="1"/>
  <c r="I41" i="2"/>
  <c r="I4" i="6" s="1"/>
  <c r="H41" i="2"/>
  <c r="H4" i="6" s="1"/>
  <c r="G41" i="2"/>
  <c r="G4" i="6" s="1"/>
  <c r="F41" i="2"/>
  <c r="E41" i="2"/>
  <c r="E4" i="6" s="1"/>
  <c r="D41" i="2"/>
  <c r="C41" i="2"/>
  <c r="C4" i="6" s="1"/>
  <c r="L40" i="2"/>
  <c r="L7" i="6" s="1"/>
  <c r="K40" i="2"/>
  <c r="K12" i="6" s="1"/>
  <c r="J40" i="2"/>
  <c r="I40" i="2"/>
  <c r="I11" i="6" s="1"/>
  <c r="H40" i="2"/>
  <c r="G40" i="2"/>
  <c r="G9" i="6" s="1"/>
  <c r="F40" i="2"/>
  <c r="E40" i="2"/>
  <c r="D40" i="2"/>
  <c r="C40" i="2"/>
  <c r="C7" i="6" s="1"/>
  <c r="L38" i="2"/>
  <c r="K38" i="2"/>
  <c r="J38" i="2"/>
  <c r="I38" i="2"/>
  <c r="H38" i="2"/>
  <c r="H62" i="5" s="1"/>
  <c r="G38" i="2"/>
  <c r="F38" i="2"/>
  <c r="F39" i="2" s="1"/>
  <c r="F66" i="5" s="1"/>
  <c r="E38" i="2"/>
  <c r="D38" i="2"/>
  <c r="C38" i="2"/>
  <c r="C62" i="5" s="1"/>
  <c r="B22" i="2"/>
  <c r="B21" i="2"/>
  <c r="D39" i="2" s="1"/>
  <c r="B20" i="2"/>
  <c r="B10" i="1"/>
  <c r="B9" i="1"/>
  <c r="B8" i="1"/>
  <c r="B7" i="1"/>
  <c r="L16" i="6" l="1"/>
  <c r="L7" i="8" s="1"/>
  <c r="K16" i="6"/>
  <c r="K7" i="8" s="1"/>
  <c r="J16" i="6"/>
  <c r="J7" i="8" s="1"/>
  <c r="I16" i="6"/>
  <c r="I7" i="8" s="1"/>
  <c r="F16" i="6"/>
  <c r="F7" i="8" s="1"/>
  <c r="E16" i="6"/>
  <c r="E7" i="8" s="1"/>
  <c r="D16" i="6"/>
  <c r="D7" i="8" s="1"/>
  <c r="H16" i="6"/>
  <c r="H7" i="8" s="1"/>
  <c r="G16" i="6"/>
  <c r="G7" i="8" s="1"/>
  <c r="B26" i="3"/>
  <c r="J15" i="5"/>
  <c r="J18" i="5"/>
  <c r="D42" i="5"/>
  <c r="D43" i="5"/>
  <c r="D44" i="5" s="1"/>
  <c r="D45" i="5"/>
  <c r="D46" i="5"/>
  <c r="F13" i="7"/>
  <c r="F67" i="5"/>
  <c r="D25" i="5"/>
  <c r="D26" i="5" s="1"/>
  <c r="D24" i="5"/>
  <c r="F14" i="5"/>
  <c r="H11" i="7"/>
  <c r="H63" i="5"/>
  <c r="E10" i="6"/>
  <c r="E11" i="6"/>
  <c r="E5" i="6"/>
  <c r="E12" i="6"/>
  <c r="E6" i="6"/>
  <c r="E56" i="5"/>
  <c r="E13" i="6"/>
  <c r="E7" i="6"/>
  <c r="E14" i="6" s="1"/>
  <c r="E21" i="7" s="1"/>
  <c r="E8" i="6"/>
  <c r="E9" i="6"/>
  <c r="F12" i="6"/>
  <c r="F6" i="6"/>
  <c r="F56" i="5"/>
  <c r="F13" i="6"/>
  <c r="F7" i="6"/>
  <c r="F5" i="6"/>
  <c r="F14" i="6" s="1"/>
  <c r="F21" i="7" s="1"/>
  <c r="F10" i="6"/>
  <c r="F9" i="6"/>
  <c r="F11" i="6"/>
  <c r="F8" i="6"/>
  <c r="D7" i="5"/>
  <c r="D28" i="5" s="1"/>
  <c r="D6" i="5"/>
  <c r="D10" i="5" s="1"/>
  <c r="F36" i="5"/>
  <c r="F35" i="5"/>
  <c r="F33" i="5"/>
  <c r="F34" i="5" s="1"/>
  <c r="F17" i="5"/>
  <c r="I63" i="5"/>
  <c r="I11" i="7"/>
  <c r="I12" i="6"/>
  <c r="I6" i="6"/>
  <c r="I14" i="6" s="1"/>
  <c r="I21" i="7" s="1"/>
  <c r="I56" i="5"/>
  <c r="I13" i="6"/>
  <c r="I7" i="6"/>
  <c r="I8" i="6"/>
  <c r="I9" i="6"/>
  <c r="I10" i="6"/>
  <c r="I5" i="6"/>
  <c r="D16" i="4"/>
  <c r="D19" i="7" s="1"/>
  <c r="G7" i="5"/>
  <c r="G28" i="5" s="1"/>
  <c r="G30" i="5" s="1"/>
  <c r="G8" i="5"/>
  <c r="G38" i="5" s="1"/>
  <c r="L12" i="5"/>
  <c r="E54" i="5"/>
  <c r="G48" i="5"/>
  <c r="G51" i="5" s="1"/>
  <c r="G52" i="5" s="1"/>
  <c r="F64" i="5"/>
  <c r="D48" i="5"/>
  <c r="C48" i="5"/>
  <c r="H66" i="5"/>
  <c r="D64" i="5"/>
  <c r="L54" i="5"/>
  <c r="G66" i="5"/>
  <c r="K54" i="5"/>
  <c r="I54" i="5"/>
  <c r="H48" i="5"/>
  <c r="H51" i="5" s="1"/>
  <c r="H52" i="5" s="1"/>
  <c r="D66" i="5"/>
  <c r="H54" i="5"/>
  <c r="H55" i="5" s="1"/>
  <c r="H9" i="7" s="1"/>
  <c r="F48" i="5"/>
  <c r="F51" i="5" s="1"/>
  <c r="F52" i="5" s="1"/>
  <c r="D54" i="5"/>
  <c r="D55" i="5" s="1"/>
  <c r="D9" i="7" s="1"/>
  <c r="G54" i="5"/>
  <c r="E48" i="5"/>
  <c r="F54" i="5"/>
  <c r="F55" i="5" s="1"/>
  <c r="F9" i="7" s="1"/>
  <c r="H64" i="5"/>
  <c r="J48" i="5"/>
  <c r="J8" i="6"/>
  <c r="J9" i="6"/>
  <c r="J5" i="6"/>
  <c r="J7" i="6"/>
  <c r="J12" i="6"/>
  <c r="J56" i="5"/>
  <c r="J11" i="6"/>
  <c r="J14" i="6" s="1"/>
  <c r="J21" i="7" s="1"/>
  <c r="J13" i="6"/>
  <c r="J10" i="6"/>
  <c r="I16" i="4"/>
  <c r="I19" i="7" s="1"/>
  <c r="H8" i="5"/>
  <c r="H38" i="5" s="1"/>
  <c r="H40" i="5" s="1"/>
  <c r="H6" i="5"/>
  <c r="H10" i="5" s="1"/>
  <c r="H12" i="5" s="1"/>
  <c r="H7" i="5"/>
  <c r="H28" i="5" s="1"/>
  <c r="H30" i="5" s="1"/>
  <c r="I48" i="5"/>
  <c r="J62" i="5"/>
  <c r="K12" i="5"/>
  <c r="J36" i="5"/>
  <c r="J33" i="5"/>
  <c r="J34" i="5" s="1"/>
  <c r="G63" i="5"/>
  <c r="G11" i="7"/>
  <c r="H24" i="5"/>
  <c r="F63" i="5"/>
  <c r="F11" i="7"/>
  <c r="K16" i="4"/>
  <c r="K19" i="7" s="1"/>
  <c r="K48" i="5"/>
  <c r="K51" i="5" s="1"/>
  <c r="K52" i="5" s="1"/>
  <c r="L16" i="4"/>
  <c r="L19" i="7" s="1"/>
  <c r="L48" i="5"/>
  <c r="J6" i="6"/>
  <c r="H13" i="6"/>
  <c r="H7" i="6"/>
  <c r="H8" i="6"/>
  <c r="H10" i="6"/>
  <c r="H12" i="6"/>
  <c r="H56" i="5"/>
  <c r="H5" i="6"/>
  <c r="H14" i="6" s="1"/>
  <c r="H21" i="7" s="1"/>
  <c r="H9" i="6"/>
  <c r="H6" i="6"/>
  <c r="J39" i="2"/>
  <c r="J55" i="5" s="1"/>
  <c r="J9" i="7" s="1"/>
  <c r="I39" i="2"/>
  <c r="I64" i="5" s="1"/>
  <c r="C39" i="2"/>
  <c r="C66" i="5" s="1"/>
  <c r="E39" i="2"/>
  <c r="E66" i="5" s="1"/>
  <c r="D62" i="5"/>
  <c r="E62" i="5"/>
  <c r="G39" i="2"/>
  <c r="G64" i="5" s="1"/>
  <c r="D17" i="4"/>
  <c r="D20" i="7" s="1"/>
  <c r="K64" i="5"/>
  <c r="K62" i="5"/>
  <c r="K39" i="2"/>
  <c r="K66" i="5" s="1"/>
  <c r="G11" i="6"/>
  <c r="G5" i="6"/>
  <c r="G14" i="6" s="1"/>
  <c r="G21" i="7" s="1"/>
  <c r="G12" i="6"/>
  <c r="G6" i="6"/>
  <c r="G56" i="5"/>
  <c r="G13" i="6"/>
  <c r="G7" i="6"/>
  <c r="G8" i="6"/>
  <c r="G10" i="6"/>
  <c r="C11" i="7"/>
  <c r="C63" i="5"/>
  <c r="H39" i="2"/>
  <c r="F24" i="5"/>
  <c r="F25" i="5"/>
  <c r="F26" i="5" s="1"/>
  <c r="H25" i="5"/>
  <c r="H26" i="5" s="1"/>
  <c r="F32" i="5"/>
  <c r="F18" i="5"/>
  <c r="F15" i="5"/>
  <c r="C9" i="6"/>
  <c r="C10" i="6"/>
  <c r="C11" i="6"/>
  <c r="C5" i="6"/>
  <c r="C12" i="6"/>
  <c r="C6" i="6"/>
  <c r="C56" i="5"/>
  <c r="C13" i="6"/>
  <c r="C8" i="6"/>
  <c r="J17" i="4"/>
  <c r="J20" i="7" s="1"/>
  <c r="H16" i="4"/>
  <c r="H19" i="7" s="1"/>
  <c r="I17" i="4"/>
  <c r="I20" i="7" s="1"/>
  <c r="G16" i="4"/>
  <c r="G19" i="7" s="1"/>
  <c r="E16" i="4"/>
  <c r="E19" i="7" s="1"/>
  <c r="H17" i="4"/>
  <c r="H20" i="7" s="1"/>
  <c r="F16" i="4"/>
  <c r="F19" i="7" s="1"/>
  <c r="G17" i="4"/>
  <c r="G20" i="7" s="1"/>
  <c r="C17" i="4"/>
  <c r="C20" i="7" s="1"/>
  <c r="L17" i="4"/>
  <c r="L20" i="7" s="1"/>
  <c r="J16" i="4"/>
  <c r="J19" i="7" s="1"/>
  <c r="F17" i="4"/>
  <c r="F20" i="7" s="1"/>
  <c r="C6" i="5"/>
  <c r="C10" i="5" s="1"/>
  <c r="C8" i="5"/>
  <c r="C38" i="5" s="1"/>
  <c r="C39" i="5"/>
  <c r="I29" i="5"/>
  <c r="I30" i="5" s="1"/>
  <c r="G21" i="5"/>
  <c r="G22" i="5" s="1"/>
  <c r="K39" i="5"/>
  <c r="K40" i="5" s="1"/>
  <c r="E29" i="5"/>
  <c r="C21" i="5"/>
  <c r="C22" i="5" s="1"/>
  <c r="I11" i="5"/>
  <c r="I12" i="5" s="1"/>
  <c r="J39" i="5"/>
  <c r="J40" i="5" s="1"/>
  <c r="D29" i="5"/>
  <c r="I39" i="5"/>
  <c r="I40" i="5" s="1"/>
  <c r="C29" i="5"/>
  <c r="C30" i="5" s="1"/>
  <c r="L62" i="5"/>
  <c r="D11" i="6"/>
  <c r="D5" i="6"/>
  <c r="D14" i="6" s="1"/>
  <c r="D21" i="7" s="1"/>
  <c r="D12" i="6"/>
  <c r="D6" i="6"/>
  <c r="D56" i="5"/>
  <c r="G11" i="5"/>
  <c r="G12" i="5" s="1"/>
  <c r="E6" i="5"/>
  <c r="E10" i="5" s="1"/>
  <c r="E12" i="5" s="1"/>
  <c r="E8" i="5"/>
  <c r="E38" i="5" s="1"/>
  <c r="E40" i="5" s="1"/>
  <c r="K11" i="5"/>
  <c r="E21" i="5"/>
  <c r="E22" i="5" s="1"/>
  <c r="G29" i="5"/>
  <c r="L6" i="6"/>
  <c r="L14" i="6" s="1"/>
  <c r="L21" i="7" s="1"/>
  <c r="D7" i="6"/>
  <c r="F50" i="5"/>
  <c r="F8" i="7" s="1"/>
  <c r="J21" i="5"/>
  <c r="J22" i="5" s="1"/>
  <c r="L29" i="5"/>
  <c r="L30" i="5" s="1"/>
  <c r="G39" i="5"/>
  <c r="C11" i="5"/>
  <c r="K21" i="5"/>
  <c r="K22" i="5" s="1"/>
  <c r="H39" i="5"/>
  <c r="H50" i="5"/>
  <c r="H8" i="7" s="1"/>
  <c r="K56" i="5"/>
  <c r="K29" i="5"/>
  <c r="K30" i="5" s="1"/>
  <c r="F39" i="5"/>
  <c r="F40" i="5" s="1"/>
  <c r="D10" i="6"/>
  <c r="K13" i="6"/>
  <c r="K7" i="6"/>
  <c r="K8" i="6"/>
  <c r="K9" i="6"/>
  <c r="K10" i="6"/>
  <c r="L9" i="6"/>
  <c r="L10" i="6"/>
  <c r="E7" i="5"/>
  <c r="E28" i="5" s="1"/>
  <c r="E30" i="5" s="1"/>
  <c r="D11" i="5"/>
  <c r="L21" i="5"/>
  <c r="L22" i="5" s="1"/>
  <c r="L39" i="5"/>
  <c r="L40" i="5" s="1"/>
  <c r="L56" i="5"/>
  <c r="D8" i="6"/>
  <c r="L12" i="6"/>
  <c r="L39" i="2"/>
  <c r="L64" i="5" s="1"/>
  <c r="E11" i="5"/>
  <c r="I22" i="5"/>
  <c r="K5" i="6"/>
  <c r="K14" i="6" s="1"/>
  <c r="K21" i="7" s="1"/>
  <c r="L33" i="5" l="1"/>
  <c r="L34" i="5" s="1"/>
  <c r="L36" i="5"/>
  <c r="L35" i="5"/>
  <c r="L32" i="5"/>
  <c r="J24" i="5"/>
  <c r="J25" i="5"/>
  <c r="J26" i="5" s="1"/>
  <c r="G14" i="5"/>
  <c r="G15" i="5"/>
  <c r="G17" i="5"/>
  <c r="G18" i="5"/>
  <c r="L12" i="7"/>
  <c r="L65" i="5"/>
  <c r="G12" i="7"/>
  <c r="G65" i="5"/>
  <c r="F43" i="5"/>
  <c r="F44" i="5" s="1"/>
  <c r="F45" i="5"/>
  <c r="F46" i="5"/>
  <c r="F42" i="5"/>
  <c r="F58" i="5"/>
  <c r="F59" i="5" s="1"/>
  <c r="E13" i="7"/>
  <c r="E67" i="5"/>
  <c r="K36" i="5"/>
  <c r="K32" i="5"/>
  <c r="K33" i="5"/>
  <c r="K34" i="5" s="1"/>
  <c r="K35" i="5"/>
  <c r="C67" i="5"/>
  <c r="C13" i="7"/>
  <c r="E24" i="5"/>
  <c r="E25" i="5"/>
  <c r="E26" i="5" s="1"/>
  <c r="I65" i="5"/>
  <c r="I12" i="7"/>
  <c r="J45" i="5"/>
  <c r="J42" i="5"/>
  <c r="J46" i="5"/>
  <c r="J43" i="5"/>
  <c r="J44" i="5" s="1"/>
  <c r="J58" i="5"/>
  <c r="J59" i="5" s="1"/>
  <c r="C25" i="5"/>
  <c r="C26" i="5" s="1"/>
  <c r="C24" i="5"/>
  <c r="K43" i="5"/>
  <c r="K44" i="5" s="1"/>
  <c r="K45" i="5"/>
  <c r="K46" i="5"/>
  <c r="K42" i="5"/>
  <c r="I35" i="5"/>
  <c r="I32" i="5"/>
  <c r="I36" i="5"/>
  <c r="I33" i="5"/>
  <c r="I34" i="5" s="1"/>
  <c r="L45" i="5"/>
  <c r="L46" i="5"/>
  <c r="L42" i="5"/>
  <c r="L43" i="5"/>
  <c r="L44" i="5" s="1"/>
  <c r="C32" i="5"/>
  <c r="C35" i="5"/>
  <c r="C33" i="5"/>
  <c r="C34" i="5" s="1"/>
  <c r="C36" i="5"/>
  <c r="I15" i="5"/>
  <c r="I58" i="5"/>
  <c r="I59" i="5" s="1"/>
  <c r="I17" i="5"/>
  <c r="I14" i="5"/>
  <c r="I18" i="5"/>
  <c r="K67" i="5"/>
  <c r="K13" i="7"/>
  <c r="E11" i="7"/>
  <c r="E63" i="5"/>
  <c r="C51" i="5"/>
  <c r="C52" i="5" s="1"/>
  <c r="C50" i="5"/>
  <c r="C8" i="7" s="1"/>
  <c r="K50" i="5"/>
  <c r="K8" i="7" s="1"/>
  <c r="D12" i="5"/>
  <c r="I24" i="5"/>
  <c r="I25" i="5"/>
  <c r="I26" i="5" s="1"/>
  <c r="I42" i="5"/>
  <c r="I45" i="5"/>
  <c r="I46" i="5"/>
  <c r="I43" i="5"/>
  <c r="I44" i="5" s="1"/>
  <c r="C12" i="5"/>
  <c r="C55" i="5"/>
  <c r="C9" i="7" s="1"/>
  <c r="G50" i="5"/>
  <c r="G8" i="7" s="1"/>
  <c r="E46" i="5"/>
  <c r="E42" i="5"/>
  <c r="E43" i="5"/>
  <c r="E44" i="5" s="1"/>
  <c r="E45" i="5"/>
  <c r="D63" i="5"/>
  <c r="D11" i="7"/>
  <c r="H33" i="5"/>
  <c r="H34" i="5" s="1"/>
  <c r="H32" i="5"/>
  <c r="H36" i="5"/>
  <c r="H35" i="5"/>
  <c r="E64" i="5"/>
  <c r="L17" i="5"/>
  <c r="L18" i="5"/>
  <c r="L58" i="5"/>
  <c r="L59" i="5" s="1"/>
  <c r="L15" i="5"/>
  <c r="L14" i="5"/>
  <c r="D30" i="5"/>
  <c r="B4" i="8"/>
  <c r="B8" i="8" s="1"/>
  <c r="B11" i="1"/>
  <c r="H58" i="5"/>
  <c r="H59" i="5" s="1"/>
  <c r="H18" i="5"/>
  <c r="H15" i="5"/>
  <c r="H14" i="5"/>
  <c r="H69" i="5" s="1"/>
  <c r="H17" i="5"/>
  <c r="D13" i="7"/>
  <c r="D67" i="5"/>
  <c r="I66" i="5"/>
  <c r="G40" i="5"/>
  <c r="G58" i="5" s="1"/>
  <c r="G59" i="5" s="1"/>
  <c r="H43" i="5"/>
  <c r="H44" i="5" s="1"/>
  <c r="H45" i="5"/>
  <c r="H42" i="5"/>
  <c r="H46" i="5"/>
  <c r="J51" i="5"/>
  <c r="J52" i="5" s="1"/>
  <c r="J50" i="5"/>
  <c r="J8" i="7" s="1"/>
  <c r="D51" i="5"/>
  <c r="D52" i="5" s="1"/>
  <c r="D50" i="5"/>
  <c r="D8" i="7" s="1"/>
  <c r="G36" i="5"/>
  <c r="G35" i="5"/>
  <c r="G33" i="5"/>
  <c r="G34" i="5" s="1"/>
  <c r="G32" i="5"/>
  <c r="H65" i="5"/>
  <c r="H12" i="7"/>
  <c r="I55" i="5"/>
  <c r="I9" i="7" s="1"/>
  <c r="F65" i="5"/>
  <c r="F12" i="7"/>
  <c r="J64" i="5"/>
  <c r="J35" i="5"/>
  <c r="L66" i="5"/>
  <c r="J66" i="5"/>
  <c r="F71" i="5"/>
  <c r="F7" i="7" s="1"/>
  <c r="J14" i="5"/>
  <c r="J69" i="5" s="1"/>
  <c r="L51" i="5"/>
  <c r="L52" i="5" s="1"/>
  <c r="L50" i="5"/>
  <c r="L8" i="7" s="1"/>
  <c r="K55" i="5"/>
  <c r="K9" i="7" s="1"/>
  <c r="F69" i="5"/>
  <c r="J17" i="5"/>
  <c r="G24" i="5"/>
  <c r="G25" i="5"/>
  <c r="G26" i="5" s="1"/>
  <c r="C14" i="6"/>
  <c r="C21" i="7" s="1"/>
  <c r="K11" i="7"/>
  <c r="K63" i="5"/>
  <c r="J32" i="5"/>
  <c r="C64" i="5"/>
  <c r="J16" i="5"/>
  <c r="J73" i="5" s="1"/>
  <c r="E15" i="5"/>
  <c r="E58" i="5"/>
  <c r="E59" i="5" s="1"/>
  <c r="E18" i="5"/>
  <c r="E14" i="5"/>
  <c r="E17" i="5"/>
  <c r="L25" i="5"/>
  <c r="L26" i="5" s="1"/>
  <c r="L24" i="5"/>
  <c r="G55" i="5"/>
  <c r="G9" i="7" s="1"/>
  <c r="L55" i="5"/>
  <c r="L9" i="7" s="1"/>
  <c r="E55" i="5"/>
  <c r="E9" i="7" s="1"/>
  <c r="K65" i="5"/>
  <c r="K12" i="7"/>
  <c r="K58" i="5"/>
  <c r="K59" i="5" s="1"/>
  <c r="K18" i="5"/>
  <c r="K15" i="5"/>
  <c r="K17" i="5"/>
  <c r="K71" i="5" s="1"/>
  <c r="K7" i="7" s="1"/>
  <c r="K14" i="5"/>
  <c r="E33" i="5"/>
  <c r="E34" i="5" s="1"/>
  <c r="E35" i="5"/>
  <c r="E36" i="5"/>
  <c r="E32" i="5"/>
  <c r="L11" i="7"/>
  <c r="L63" i="5"/>
  <c r="J63" i="5"/>
  <c r="J11" i="7"/>
  <c r="D12" i="7"/>
  <c r="D65" i="5"/>
  <c r="E50" i="5"/>
  <c r="E8" i="7" s="1"/>
  <c r="E51" i="5"/>
  <c r="E52" i="5" s="1"/>
  <c r="G13" i="7"/>
  <c r="G67" i="5"/>
  <c r="K25" i="5"/>
  <c r="K26" i="5" s="1"/>
  <c r="K24" i="5"/>
  <c r="C40" i="5"/>
  <c r="F70" i="5"/>
  <c r="F6" i="7" s="1"/>
  <c r="F16" i="5"/>
  <c r="F73" i="5" s="1"/>
  <c r="I51" i="5"/>
  <c r="I52" i="5" s="1"/>
  <c r="I50" i="5"/>
  <c r="I8" i="7" s="1"/>
  <c r="H13" i="7"/>
  <c r="H67" i="5"/>
  <c r="G22" i="7" l="1"/>
  <c r="G60" i="5"/>
  <c r="G10" i="7"/>
  <c r="E22" i="7"/>
  <c r="E60" i="5"/>
  <c r="E10" i="7"/>
  <c r="F72" i="5"/>
  <c r="F5" i="7"/>
  <c r="F14" i="7" s="1"/>
  <c r="E70" i="5"/>
  <c r="E6" i="7" s="1"/>
  <c r="E16" i="5"/>
  <c r="E73" i="5" s="1"/>
  <c r="B9" i="8"/>
  <c r="B14" i="8"/>
  <c r="I69" i="5"/>
  <c r="J70" i="5"/>
  <c r="J6" i="7" s="1"/>
  <c r="D35" i="5"/>
  <c r="D33" i="5"/>
  <c r="D34" i="5" s="1"/>
  <c r="D32" i="5"/>
  <c r="D36" i="5"/>
  <c r="I71" i="5"/>
  <c r="I7" i="7" s="1"/>
  <c r="G70" i="5"/>
  <c r="G6" i="7" s="1"/>
  <c r="G16" i="5"/>
  <c r="G73" i="5" s="1"/>
  <c r="G74" i="5" s="1"/>
  <c r="G16" i="7" s="1"/>
  <c r="F22" i="7"/>
  <c r="F60" i="5"/>
  <c r="F74" i="5" s="1"/>
  <c r="F16" i="7" s="1"/>
  <c r="F10" i="7"/>
  <c r="K22" i="7"/>
  <c r="K10" i="7"/>
  <c r="K60" i="5"/>
  <c r="G43" i="5"/>
  <c r="G44" i="5" s="1"/>
  <c r="G46" i="5"/>
  <c r="G42" i="5"/>
  <c r="G69" i="5" s="1"/>
  <c r="G45" i="5"/>
  <c r="G71" i="5" s="1"/>
  <c r="G7" i="7" s="1"/>
  <c r="L69" i="5"/>
  <c r="I22" i="7"/>
  <c r="I10" i="7"/>
  <c r="I60" i="5"/>
  <c r="C45" i="5"/>
  <c r="C42" i="5"/>
  <c r="C43" i="5"/>
  <c r="C44" i="5" s="1"/>
  <c r="C46" i="5"/>
  <c r="C12" i="7"/>
  <c r="C65" i="5"/>
  <c r="J5" i="7"/>
  <c r="J14" i="7" s="1"/>
  <c r="J72" i="5"/>
  <c r="I13" i="7"/>
  <c r="I67" i="5"/>
  <c r="L16" i="5"/>
  <c r="L73" i="5" s="1"/>
  <c r="L70" i="5"/>
  <c r="L6" i="7" s="1"/>
  <c r="D18" i="5"/>
  <c r="D15" i="5"/>
  <c r="D17" i="5"/>
  <c r="D58" i="5"/>
  <c r="D59" i="5" s="1"/>
  <c r="D14" i="5"/>
  <c r="D69" i="5" s="1"/>
  <c r="I16" i="5"/>
  <c r="I73" i="5" s="1"/>
  <c r="I70" i="5"/>
  <c r="I6" i="7" s="1"/>
  <c r="L10" i="7"/>
  <c r="L60" i="5"/>
  <c r="L22" i="7"/>
  <c r="J67" i="5"/>
  <c r="J13" i="7"/>
  <c r="L67" i="5"/>
  <c r="L13" i="7"/>
  <c r="H71" i="5"/>
  <c r="H7" i="7" s="1"/>
  <c r="L71" i="5"/>
  <c r="L7" i="7" s="1"/>
  <c r="E12" i="7"/>
  <c r="E65" i="5"/>
  <c r="H72" i="5"/>
  <c r="H5" i="7"/>
  <c r="K69" i="5"/>
  <c r="E71" i="5"/>
  <c r="E7" i="7" s="1"/>
  <c r="J65" i="5"/>
  <c r="J12" i="7"/>
  <c r="H16" i="5"/>
  <c r="H73" i="5" s="1"/>
  <c r="H70" i="5"/>
  <c r="H6" i="7" s="1"/>
  <c r="C18" i="5"/>
  <c r="C14" i="5"/>
  <c r="C69" i="5" s="1"/>
  <c r="C58" i="5"/>
  <c r="C59" i="5" s="1"/>
  <c r="C15" i="5"/>
  <c r="C17" i="5"/>
  <c r="E69" i="5"/>
  <c r="K16" i="5"/>
  <c r="K73" i="5" s="1"/>
  <c r="K70" i="5"/>
  <c r="K6" i="7" s="1"/>
  <c r="J71" i="5"/>
  <c r="J7" i="7" s="1"/>
  <c r="H22" i="7"/>
  <c r="H10" i="7"/>
  <c r="H60" i="5"/>
  <c r="J10" i="7"/>
  <c r="J60" i="5"/>
  <c r="J74" i="5" s="1"/>
  <c r="J16" i="7" s="1"/>
  <c r="J22" i="7"/>
  <c r="G72" i="5" l="1"/>
  <c r="G5" i="7"/>
  <c r="G14" i="7" s="1"/>
  <c r="J23" i="7"/>
  <c r="J29" i="7" s="1"/>
  <c r="J17" i="7"/>
  <c r="J28" i="7"/>
  <c r="C70" i="5"/>
  <c r="C6" i="7" s="1"/>
  <c r="C16" i="5"/>
  <c r="C73" i="5" s="1"/>
  <c r="C74" i="5" s="1"/>
  <c r="C16" i="7" s="1"/>
  <c r="I74" i="5"/>
  <c r="I16" i="7" s="1"/>
  <c r="C10" i="7"/>
  <c r="C60" i="5"/>
  <c r="C22" i="7"/>
  <c r="D5" i="7"/>
  <c r="E74" i="5"/>
  <c r="E16" i="7" s="1"/>
  <c r="D71" i="5"/>
  <c r="D7" i="7" s="1"/>
  <c r="F17" i="7"/>
  <c r="F23" i="7"/>
  <c r="F29" i="7" s="1"/>
  <c r="F28" i="7"/>
  <c r="D70" i="5"/>
  <c r="D6" i="7" s="1"/>
  <c r="D16" i="5"/>
  <c r="D73" i="5" s="1"/>
  <c r="D74" i="5" s="1"/>
  <c r="D16" i="7" s="1"/>
  <c r="H74" i="5"/>
  <c r="H16" i="7" s="1"/>
  <c r="C5" i="7"/>
  <c r="D22" i="7"/>
  <c r="D60" i="5"/>
  <c r="D10" i="7"/>
  <c r="L74" i="5"/>
  <c r="L16" i="7" s="1"/>
  <c r="C71" i="5"/>
  <c r="C7" i="7" s="1"/>
  <c r="I72" i="5"/>
  <c r="I5" i="7"/>
  <c r="I14" i="7" s="1"/>
  <c r="K74" i="5"/>
  <c r="K16" i="7" s="1"/>
  <c r="K72" i="5"/>
  <c r="K5" i="7"/>
  <c r="K14" i="7" s="1"/>
  <c r="L5" i="7"/>
  <c r="L14" i="7" s="1"/>
  <c r="L72" i="5"/>
  <c r="E5" i="7"/>
  <c r="E14" i="7" s="1"/>
  <c r="E72" i="5"/>
  <c r="H14" i="7"/>
  <c r="K23" i="7" l="1"/>
  <c r="K17" i="7"/>
  <c r="K24" i="7" s="1"/>
  <c r="K28" i="7"/>
  <c r="F24" i="7"/>
  <c r="J30" i="7"/>
  <c r="K29" i="7"/>
  <c r="I23" i="7"/>
  <c r="I29" i="7" s="1"/>
  <c r="I17" i="7"/>
  <c r="I24" i="7" s="1"/>
  <c r="I28" i="7"/>
  <c r="F30" i="7"/>
  <c r="J24" i="7"/>
  <c r="H23" i="7"/>
  <c r="H29" i="7" s="1"/>
  <c r="H28" i="7"/>
  <c r="H17" i="7"/>
  <c r="H24" i="7" s="1"/>
  <c r="D72" i="5"/>
  <c r="E28" i="7"/>
  <c r="E17" i="7"/>
  <c r="E23" i="7"/>
  <c r="E29" i="7" s="1"/>
  <c r="D14" i="7"/>
  <c r="G28" i="7"/>
  <c r="G23" i="7"/>
  <c r="G29" i="7" s="1"/>
  <c r="G17" i="7"/>
  <c r="G24" i="7" s="1"/>
  <c r="C72" i="5"/>
  <c r="L17" i="7"/>
  <c r="L28" i="7"/>
  <c r="L23" i="7"/>
  <c r="L29" i="7" s="1"/>
  <c r="C14" i="7"/>
  <c r="D28" i="7" l="1"/>
  <c r="D23" i="7"/>
  <c r="D29" i="7" s="1"/>
  <c r="D17" i="7"/>
  <c r="D24" i="7" s="1"/>
  <c r="I30" i="7"/>
  <c r="J5" i="8"/>
  <c r="J25" i="7"/>
  <c r="K30" i="7"/>
  <c r="L30" i="7"/>
  <c r="H5" i="8"/>
  <c r="H25" i="7"/>
  <c r="H30" i="7"/>
  <c r="F5" i="8"/>
  <c r="F25" i="7"/>
  <c r="K25" i="7"/>
  <c r="K5" i="8"/>
  <c r="I5" i="8"/>
  <c r="I25" i="7"/>
  <c r="E24" i="7"/>
  <c r="C17" i="7"/>
  <c r="C24" i="7" s="1"/>
  <c r="C28" i="7"/>
  <c r="C23" i="7"/>
  <c r="C29" i="7" s="1"/>
  <c r="E30" i="7"/>
  <c r="L24" i="7"/>
  <c r="G5" i="8"/>
  <c r="G25" i="7"/>
  <c r="G30" i="7"/>
  <c r="C25" i="7" l="1"/>
  <c r="C5" i="8"/>
  <c r="E25" i="7"/>
  <c r="E5" i="8"/>
  <c r="B26" i="1"/>
  <c r="L25" i="7"/>
  <c r="L5" i="8"/>
  <c r="D5" i="8"/>
  <c r="D25" i="7"/>
  <c r="C30" i="7"/>
  <c r="D30" i="7"/>
  <c r="B13" i="8" l="1"/>
  <c r="C32" i="7"/>
  <c r="C34" i="7" s="1"/>
  <c r="D31" i="7" s="1"/>
  <c r="C33" i="7"/>
  <c r="C6" i="8" l="1"/>
  <c r="C8" i="8" s="1"/>
  <c r="C35" i="7"/>
  <c r="D32" i="7"/>
  <c r="D33" i="7" s="1"/>
  <c r="D6" i="8" l="1"/>
  <c r="D8" i="8" s="1"/>
  <c r="D14" i="8" s="1"/>
  <c r="D35" i="7"/>
  <c r="C14" i="8"/>
  <c r="C9" i="8"/>
  <c r="D34" i="7"/>
  <c r="E31" i="7" s="1"/>
  <c r="D9" i="8" l="1"/>
  <c r="E32" i="7"/>
  <c r="E33" i="7" s="1"/>
  <c r="E6" i="8" l="1"/>
  <c r="E8" i="8" s="1"/>
  <c r="E35" i="7"/>
  <c r="E34" i="7"/>
  <c r="F31" i="7" s="1"/>
  <c r="E9" i="8"/>
  <c r="F32" i="7" l="1"/>
  <c r="F33" i="7" s="1"/>
  <c r="E14" i="8"/>
  <c r="F6" i="8" l="1"/>
  <c r="F8" i="8" s="1"/>
  <c r="F35" i="7"/>
  <c r="F34" i="7"/>
  <c r="G31" i="7" s="1"/>
  <c r="G32" i="7" l="1"/>
  <c r="G33" i="7" s="1"/>
  <c r="F14" i="8"/>
  <c r="F9" i="8"/>
  <c r="G6" i="8" l="1"/>
  <c r="G8" i="8" s="1"/>
  <c r="G35" i="7"/>
  <c r="G34" i="7"/>
  <c r="H31" i="7" s="1"/>
  <c r="H32" i="7" l="1"/>
  <c r="H33" i="7" s="1"/>
  <c r="G14" i="8"/>
  <c r="G9" i="8"/>
  <c r="H6" i="8" l="1"/>
  <c r="H8" i="8" s="1"/>
  <c r="H14" i="8" s="1"/>
  <c r="H35" i="7"/>
  <c r="H34" i="7"/>
  <c r="I31" i="7" s="1"/>
  <c r="I32" i="7" l="1"/>
  <c r="I33" i="7" s="1"/>
  <c r="H9" i="8"/>
  <c r="I6" i="8" l="1"/>
  <c r="I8" i="8" s="1"/>
  <c r="I14" i="8" s="1"/>
  <c r="I35" i="7"/>
  <c r="I34" i="7"/>
  <c r="J31" i="7" s="1"/>
  <c r="J34" i="7" l="1"/>
  <c r="K31" i="7" s="1"/>
  <c r="J32" i="7"/>
  <c r="J33" i="7" s="1"/>
  <c r="I9" i="8"/>
  <c r="J6" i="8" l="1"/>
  <c r="J8" i="8" s="1"/>
  <c r="J14" i="8" s="1"/>
  <c r="J35" i="7"/>
  <c r="K32" i="7"/>
  <c r="K33" i="7" s="1"/>
  <c r="K34" i="7" l="1"/>
  <c r="L31" i="7" s="1"/>
  <c r="K6" i="8"/>
  <c r="K8" i="8" s="1"/>
  <c r="K14" i="8" s="1"/>
  <c r="K35" i="7"/>
  <c r="J9" i="8"/>
  <c r="K9" i="8" s="1"/>
  <c r="L32" i="7" l="1"/>
  <c r="L33" i="7" s="1"/>
  <c r="L34" i="7" l="1"/>
  <c r="L6" i="8"/>
  <c r="L8" i="8" s="1"/>
  <c r="L35" i="7"/>
  <c r="L14" i="8" l="1"/>
  <c r="B17" i="8" s="1"/>
  <c r="B25" i="1" s="1"/>
  <c r="B18" i="8"/>
  <c r="B15" i="8"/>
  <c r="L9" i="8"/>
  <c r="B19" i="8" s="1"/>
  <c r="B20" i="8" l="1"/>
  <c r="B22" i="1" s="1"/>
  <c r="B23" i="1"/>
  <c r="B16" i="8"/>
  <c r="B24" i="1"/>
</calcChain>
</file>

<file path=xl/sharedStrings.xml><?xml version="1.0" encoding="utf-8"?>
<sst xmlns="http://schemas.openxmlformats.org/spreadsheetml/2006/main" count="587" uniqueCount="415">
  <si>
    <t>ЦЕНТР РАКЕТОЧНЫХ ВИДОВ СПОРТА, СПб — ФИНАНСОВАЯ МОДЕЛЬ v3 (10 ЛЕТ)</t>
  </si>
  <si>
    <t>Здание 2100 м² + антресоль 250 м² (каркас, потолок 8 м), земля бесплатно, собственные инвестиции.</t>
  </si>
  <si>
    <t>Композиция кортов — результат перебора 182 вариантов по критерию окупаемости (лист «Оптимизация»).</t>
  </si>
  <si>
    <t>ВЫБРАННАЯ КОМПОЗИЦИЯ</t>
  </si>
  <si>
    <t>Панорамных падел-кортов</t>
  </si>
  <si>
    <t>Сингл падел-кортов</t>
  </si>
  <si>
    <t>Сингл невыгоден при 80% гонорара тренеру — выпал из оптимума</t>
  </si>
  <si>
    <t>Бадминтонных кортов</t>
  </si>
  <si>
    <t>Столов настольного тенниса</t>
  </si>
  <si>
    <t>НТ сокращён с 4 до 2: слабейшая выручка на м²</t>
  </si>
  <si>
    <t>ИТОГО ИНВЕСТИЦИИ, ₽</t>
  </si>
  <si>
    <t>РЕЗУЛЬТАТЫ ПО СЦЕНАРИЯМ</t>
  </si>
  <si>
    <t>Оптимистичный</t>
  </si>
  <si>
    <t>Средний</t>
  </si>
  <si>
    <t>Пессимистичный</t>
  </si>
  <si>
    <t>Выручка год 3, млн ₽</t>
  </si>
  <si>
    <t>EBITDA год 3, млн ₽</t>
  </si>
  <si>
    <t>Окупаемость от старта, лет</t>
  </si>
  <si>
    <t>NPV @18% с ТС, млн ₽</t>
  </si>
  <si>
    <t>IRR с ТС</t>
  </si>
  <si>
    <t>ЖИВЫЕ МЕТРИКИ АКТИВНОГО СЦЕНАРИЯ (переключатель — лист «Допущения»)</t>
  </si>
  <si>
    <t>Окупаемость от открытия, лет</t>
  </si>
  <si>
    <t>NPV @18% с ТС, ₽</t>
  </si>
  <si>
    <t>EBITDA год 3, ₽</t>
  </si>
  <si>
    <t>КЛЮЧЕВЫЕ РИСКИ И ОГОВОРКИ</t>
  </si>
  <si>
    <t>1. Групповые программы дают ~30% валовой прибыли кортов; заполняемость групп (падел 8, бадминтон 12 чел) — главный операционный риск. Стресс-тест — лист «Оптимизация».</t>
  </si>
  <si>
    <t>2. УСН: остаточная стоимость ОС ~245 млн превышает лимит 200 млн — требуется структурирование (2 юрлица или ОСНО со льготой ст. 149 НК для спортуслуг). В модели — УСН Д−Р 7% с мин. налогом 1%.</t>
  </si>
  <si>
    <t>3. Сдельные тренеры получают 80% выручки инд. тренировок — клуб зарабатывает на этих часах в основном через аренду корта (тренировочная маржа всего 20%).</t>
  </si>
  <si>
    <t>4. B2B-пакеты учтены внутри загрузки кортов — отдельной строки нет, двойного счёта нет.</t>
  </si>
  <si>
    <t>5. Пессимистичный сценарий: окупаемость 7,1 года, NPV ≈ 0 — проект возвращает деньги, но не создаёт стоимости при ставке 18%.</t>
  </si>
  <si>
    <t>6. Конкурентная волна СПб-2026 (Астра, Арсенал, Lunda, ТРК «Лето») — окно входа 12–24 мес; детальное обоснование — «Исследование рынка».</t>
  </si>
  <si>
    <t>ДОПУЩЕНИЯ МОДЕЛИ v3 — ЦЕНТР РАКЕТОЧНЫХ ВИДОВ СПОРТА (10 ЛЕТ, 3 СЦЕНАРИЯ)</t>
  </si>
  <si>
    <t>Синие ячейки — входные параметры; их изменение пересчитывает модель.</t>
  </si>
  <si>
    <t>Каркасное здание 2100 м² + антресоль 250 м², земля бесплатно, собственные средства</t>
  </si>
  <si>
    <t>ОБЪЕКТ И РЕЖИМ РАБОТЫ</t>
  </si>
  <si>
    <t>Оптимум перебора 182 композиций — лист «Оптимизация»</t>
  </si>
  <si>
    <t>Сингл падел-кортов (1×1)</t>
  </si>
  <si>
    <t>Сингл выпал из оптимума: при 80% гонорара тренеру и группах на панорамиках</t>
  </si>
  <si>
    <t>Часов работы в день</t>
  </si>
  <si>
    <t>07:00–23:00</t>
  </si>
  <si>
    <t>Рабочих дней в году</t>
  </si>
  <si>
    <t>Потолок загрузки</t>
  </si>
  <si>
    <t>Технический максимум продаваемых часов</t>
  </si>
  <si>
    <t>СЦЕНАРИЙ (1 — оптимистичный, 2 — средний, 3 — пессимистичный)</t>
  </si>
  <si>
    <t>ПЕРЕКЛЮЧАТЕЛЬ СЦЕНАРИЯ</t>
  </si>
  <si>
    <t>Меняйте 1/2/3 — пересчитывается вся модель</t>
  </si>
  <si>
    <t>Множители сценариев:</t>
  </si>
  <si>
    <t>Загрузка</t>
  </si>
  <si>
    <t>Цены</t>
  </si>
  <si>
    <t>Спрос (шоп/события/академия/ОФП)</t>
  </si>
  <si>
    <t xml:space="preserve">  Оптимистичный</t>
  </si>
  <si>
    <t xml:space="preserve">  Средний</t>
  </si>
  <si>
    <t xml:space="preserve">  Пессимистичный</t>
  </si>
  <si>
    <t>Активный множитель загрузки</t>
  </si>
  <si>
    <t>Активный множитель цен</t>
  </si>
  <si>
    <t>Активный множитель спроса</t>
  </si>
  <si>
    <t>ИНДЕКСАЦИЯ, НАЛОГИ, ФИНАНСЫ</t>
  </si>
  <si>
    <t>Индексация цен (с года 2)</t>
  </si>
  <si>
    <t>Индексация расходов (с года 2)</t>
  </si>
  <si>
    <t>Индексация электроэнергии</t>
  </si>
  <si>
    <t>УСН «доходы − расходы» (СПб)</t>
  </si>
  <si>
    <t>CAPEX списывается в год ввода; риск лимита ОС 200 млн — см. Сводку</t>
  </si>
  <si>
    <t>Минимальный налог (от доходов)</t>
  </si>
  <si>
    <t>Страховые взносы (эфф., МСП)</t>
  </si>
  <si>
    <t>Только штатный ФОТ; самозанятые тренеры — без взносов</t>
  </si>
  <si>
    <t>Платёжная комиссия (СБП-микс)</t>
  </si>
  <si>
    <t>Доля безналичной выручки</t>
  </si>
  <si>
    <t>НДС на неосвобождённые потоки</t>
  </si>
  <si>
    <t>Кафе, pro-shop, события; спортуслуги освобождены (ст. 149 НК)</t>
  </si>
  <si>
    <t>Ставка дисконтирования</t>
  </si>
  <si>
    <t>EV/EBITDA для терминальной стоимости</t>
  </si>
  <si>
    <t>Показатель</t>
  </si>
  <si>
    <t>Год 1</t>
  </si>
  <si>
    <t>Год 2</t>
  </si>
  <si>
    <t>Год 3</t>
  </si>
  <si>
    <t>Год 4</t>
  </si>
  <si>
    <t>Год 5</t>
  </si>
  <si>
    <t>Год 6</t>
  </si>
  <si>
    <t>Год 7</t>
  </si>
  <si>
    <t>Год 8</t>
  </si>
  <si>
    <t>Год 9</t>
  </si>
  <si>
    <t>Год 10</t>
  </si>
  <si>
    <t>Индекс цен базовый (без сценария)</t>
  </si>
  <si>
    <t>Индекс цен сценарный</t>
  </si>
  <si>
    <t>Индекс расходов</t>
  </si>
  <si>
    <t>Индекс электроэнергии</t>
  </si>
  <si>
    <t>ЦЕНЫ АРЕНДЫ ГОДА 1, ₽/ЧАС</t>
  </si>
  <si>
    <t>Панорамик: пик</t>
  </si>
  <si>
    <t>Панорамик: непик</t>
  </si>
  <si>
    <t>Панорамик: доля пиковых часов</t>
  </si>
  <si>
    <t>Панорамик: средняя цена</t>
  </si>
  <si>
    <t>Сингл: пик</t>
  </si>
  <si>
    <t>Сингл: непик</t>
  </si>
  <si>
    <t>Сингл: доля пиковых часов</t>
  </si>
  <si>
    <t>Сингл: средняя цена</t>
  </si>
  <si>
    <t>Бадминтон: пик</t>
  </si>
  <si>
    <t>Бадминтон: непик</t>
  </si>
  <si>
    <t>Бадминтон: доля пиковых часов</t>
  </si>
  <si>
    <t>Бадминтон: средняя цена</t>
  </si>
  <si>
    <t>Наст. теннис: пик</t>
  </si>
  <si>
    <t>Наст. теннис: непик</t>
  </si>
  <si>
    <t>Наст. теннис: доля пиковых часов</t>
  </si>
  <si>
    <t>Наст. теннис: средняя цена</t>
  </si>
  <si>
    <t>ЗАГРУЗКА: ДОЛЯ ПРОДАННЫХ ЧАСОВ ОТ ФОНДА (базовая траектория среднего сценария)</t>
  </si>
  <si>
    <t>Панорамики</t>
  </si>
  <si>
    <t>Сингл</t>
  </si>
  <si>
    <t>Бадминтон</t>
  </si>
  <si>
    <t>Настольный теннис</t>
  </si>
  <si>
    <t>Ramp v2 до года 4, далее +3 п.п. к году 7 и плато. B2B-пакеты учтены внутри загрузки.</t>
  </si>
  <si>
    <t>Сценарии масштабируют загрузку множителем</t>
  </si>
  <si>
    <t>ИНДИВИДУАЛЬНЫЕ ТРЕНИРОВКИ</t>
  </si>
  <si>
    <t>Доля часов с инд. тренером: падел (панорамик)</t>
  </si>
  <si>
    <t>Доля часов с инд. тренером: падел (сингл)</t>
  </si>
  <si>
    <t>Доля часов с инд. тренером: бадминтон</t>
  </si>
  <si>
    <t>Доля часов с инд. тренером: настольный теннис</t>
  </si>
  <si>
    <t>Выручка клуба за час тренировки: падел</t>
  </si>
  <si>
    <t>Поверх аренды корта</t>
  </si>
  <si>
    <t>Выручка клуба за час тренировки: бадминтон</t>
  </si>
  <si>
    <t>Выручка клуба за час тренировки: настольный теннис</t>
  </si>
  <si>
    <t>Доля гонорара самозанятого тренера</t>
  </si>
  <si>
    <t>Клубу остаётся 20% тренировочной выручки + аренда корта</t>
  </si>
  <si>
    <t>ГРУППОВЫЕ ВЗРОСЛЫЕ ЗАНЯТИЯ (доля проданных корт-часов; занятие 1 час)</t>
  </si>
  <si>
    <t>Доля часов групповых: падел</t>
  </si>
  <si>
    <t>Цена занятия с человека: падел</t>
  </si>
  <si>
    <t>Человек в группе: падел</t>
  </si>
  <si>
    <t>Кортов на группу: падел</t>
  </si>
  <si>
    <t>8 чел = 2 падел-корта; 12 чел = 3 бадминтонных; 4 чел = 1 стол</t>
  </si>
  <si>
    <t>Гонорар тренера за занятие: падел</t>
  </si>
  <si>
    <t>Доля часов групповых: бадминтон</t>
  </si>
  <si>
    <t>Цена занятия с человека: бадминтон</t>
  </si>
  <si>
    <t>Человек в группе: бадминтон</t>
  </si>
  <si>
    <t>Кортов на группу: бадминтон</t>
  </si>
  <si>
    <t>Гонорар тренера за занятие: бадминтон</t>
  </si>
  <si>
    <t>Доля часов групповых: настольный теннис</t>
  </si>
  <si>
    <t>Цена занятия с человека: настольный теннис</t>
  </si>
  <si>
    <t>Человек в группе: настольный теннис</t>
  </si>
  <si>
    <t>Кортов на группу: настольный теннис</t>
  </si>
  <si>
    <t>Гонорар тренера за занятие: настольный теннис</t>
  </si>
  <si>
    <t>На синглах группы не проводятся; группы бадминтона требуют ≥3 кортов, падела ≥2 кортов.</t>
  </si>
  <si>
    <t>ДЕТСКАЯ АКАДЕМИЯ (занятие 1,5 ч; 1 тренер + тьюторы 1:6, тренер считается за тьютора)</t>
  </si>
  <si>
    <t>Групповых занятий в неделю</t>
  </si>
  <si>
    <t>Выход на 36 к году 3</t>
  </si>
  <si>
    <t>Человек на занятии (база)</t>
  </si>
  <si>
    <t>Полная группа 16 к году 3</t>
  </si>
  <si>
    <t>Цена занятия с человека, ₽</t>
  </si>
  <si>
    <t>Абонемент 8 500 ₽/мес × 11 мес ≈ 2,4 занятия/нед — кросс-чек</t>
  </si>
  <si>
    <t>Недель занятий в году</t>
  </si>
  <si>
    <t>11 оплачиваемых месяцев</t>
  </si>
  <si>
    <t>Оплата основного тренера за занятие, ₽</t>
  </si>
  <si>
    <t>Оплата тьютора за занятие, ₽</t>
  </si>
  <si>
    <t>Длительность занятия, ч</t>
  </si>
  <si>
    <t>Кортов на занятие</t>
  </si>
  <si>
    <t>Ротация: половина группы на кортах, половина — ОФП/теория</t>
  </si>
  <si>
    <t>Детей на одного тьютора</t>
  </si>
  <si>
    <t>Корт-часы академии вычитаются из фонда аренды пропорционально кортам (панорамики/бадминтон/НТ).</t>
  </si>
  <si>
    <t>ОФП-ЗАЛ ДЛЯ ПОЖИЛЫХ (антресоль)</t>
  </si>
  <si>
    <t>Занятий в неделю</t>
  </si>
  <si>
    <t>Мест в группе</t>
  </si>
  <si>
    <t>Стоимость посещения, ₽</t>
  </si>
  <si>
    <t>Оплата тренера за занятие, ₽</t>
  </si>
  <si>
    <t>Заполняемость групп</t>
  </si>
  <si>
    <t>КАФЕ</t>
  </si>
  <si>
    <t>Посетителей на корт-час: панорамик</t>
  </si>
  <si>
    <t>Посетителей на корт-час: сингл</t>
  </si>
  <si>
    <t>Посетителей на корт-час: бадминтон</t>
  </si>
  <si>
    <t>Посетителей на корт-час: наст. теннис</t>
  </si>
  <si>
    <t>Доля покупающих в кафе</t>
  </si>
  <si>
    <t>Средний чек кафе, ₽</t>
  </si>
  <si>
    <t>Фудкост кафе</t>
  </si>
  <si>
    <t>PRO-SHOP, СОБЫТИЯ, ЛЕТНИЕ ЛАГЕРЯ</t>
  </si>
  <si>
    <t>Pro-shop: выручка, ₽/мес (цены г.1)</t>
  </si>
  <si>
    <t>Витрина при ресепшн (уточнено: 3 млн — опечатка)</t>
  </si>
  <si>
    <t>Маржа pro-shop</t>
  </si>
  <si>
    <t>Средний чек события, ₽</t>
  </si>
  <si>
    <t>Прямые расходы события</t>
  </si>
  <si>
    <t>Детей на лагерной смене</t>
  </si>
  <si>
    <t>Цена смены (2 недели), ₽</t>
  </si>
  <si>
    <t>Себестоимость лагеря (доля)</t>
  </si>
  <si>
    <t>Событий в месяц</t>
  </si>
  <si>
    <t>Лагерных смен в год</t>
  </si>
  <si>
    <t>ЭКСПЛУАТАЦИЯ (ЦЕНЫ ГОДА 1)</t>
  </si>
  <si>
    <t>Электроэнергия, кВт·ч/мес</t>
  </si>
  <si>
    <t>Тариф, ₽/кВт·ч</t>
  </si>
  <si>
    <t>Вода, ₽/мес</t>
  </si>
  <si>
    <t>Маркетинг, ₽/мес</t>
  </si>
  <si>
    <t>Софт и цифровые сервисы, ₽/мес</t>
  </si>
  <si>
    <t>Расходники, ₽/мес</t>
  </si>
  <si>
    <t>Обслуживание, ₽/мес</t>
  </si>
  <si>
    <t>Охрана, ₽/мес</t>
  </si>
  <si>
    <t>Страхование, ₽/мес</t>
  </si>
  <si>
    <t>Бухгалтерия, ₽/мес</t>
  </si>
  <si>
    <t>Прочие, ₽/мес</t>
  </si>
  <si>
    <t>Поддерживающий CAPEX, % инвестиций (с г.2)</t>
  </si>
  <si>
    <t>От инвестиций без оборотного капитала</t>
  </si>
  <si>
    <t>ПЛОЩАДИ, М² (корт с зонами обслуживания)</t>
  </si>
  <si>
    <t>Панорамик</t>
  </si>
  <si>
    <t>Бадминтонный корт</t>
  </si>
  <si>
    <t>Стол НТ</t>
  </si>
  <si>
    <t>Игровой бюджет площади</t>
  </si>
  <si>
    <t>По плану здания 60×37,8 м (v2)</t>
  </si>
  <si>
    <t>Занято выбранной композицией</t>
  </si>
  <si>
    <t>Должно быть ≤ бюджета</t>
  </si>
  <si>
    <t>ИНВЕСТИЦИИ, ₽ — СОБСТВЕННЫЕ СРЕДСТВА, ЗЕМЛЯ БЕСПЛАТНО</t>
  </si>
  <si>
    <t>Статья</t>
  </si>
  <si>
    <t>Сумма, ₽</t>
  </si>
  <si>
    <t>Проектирование, ИРД, экспертиза</t>
  </si>
  <si>
    <t>Участок: фундаменты, благоустройство, парковка</t>
  </si>
  <si>
    <t>Металлокаркас и сэндвич-панели (тёплый контур, 2100 м²)</t>
  </si>
  <si>
    <t>Антресоль 250 м² (ОФП, детская, лаунж)</t>
  </si>
  <si>
    <t>Полы и спортивные покрытия</t>
  </si>
  <si>
    <t>Вентиляция с рекуперацией + VRF (отопление/охлаждение)</t>
  </si>
  <si>
    <t>Электроснабжение и спортивное LED-освещение</t>
  </si>
  <si>
    <t>Водоснабжение и канализация</t>
  </si>
  <si>
    <t>Слаботочные системы, СКУД, видео</t>
  </si>
  <si>
    <t>Противопожарные системы</t>
  </si>
  <si>
    <t>Технологическое присоединение</t>
  </si>
  <si>
    <t>Раздевалки, мебель, ресепшн, кафе, киоски</t>
  </si>
  <si>
    <t>Цифровая инфраструктура (CRM, приложение, киоски)</t>
  </si>
  <si>
    <t>Брендинг, предзапусковый маркетинг и преселл</t>
  </si>
  <si>
    <t>Падел-корты панорамные</t>
  </si>
  <si>
    <t>3,0 млн/шт при заказе партии</t>
  </si>
  <si>
    <t>Падел сингл-корты</t>
  </si>
  <si>
    <t>2,2 млн/шт</t>
  </si>
  <si>
    <t>Оборудование бадминтона</t>
  </si>
  <si>
    <t>200 тыс/корт</t>
  </si>
  <si>
    <t>Столы НТ премиум и инвентарь</t>
  </si>
  <si>
    <t>320 тыс/стол</t>
  </si>
  <si>
    <t>Итого строительство и оснащение</t>
  </si>
  <si>
    <t>Непредвиденные, %</t>
  </si>
  <si>
    <t>Строительство с непредвиденными</t>
  </si>
  <si>
    <t>База поддерживающего CAPEX и списания на УСН</t>
  </si>
  <si>
    <t>Оборотный капитал на запуск</t>
  </si>
  <si>
    <t>ИТОГО ИНВЕСТИЦИИ</t>
  </si>
  <si>
    <t>ПЕРСОНАЛ: ШТАТ НА ОКЛАДАХ; СДЕЛЬНЫЕ ТРЕНЕРЫ — В ПРЯМЫХ РАСХОДАХ ПРОГРАММ</t>
  </si>
  <si>
    <t>Должность</t>
  </si>
  <si>
    <t>Оклад, ₽/мес</t>
  </si>
  <si>
    <t>Кол-во</t>
  </si>
  <si>
    <t>ФОТ, ₽/мес</t>
  </si>
  <si>
    <t>Взносы</t>
  </si>
  <si>
    <t>Управляющий</t>
  </si>
  <si>
    <t>да</t>
  </si>
  <si>
    <t>Администраторы ресепшн</t>
  </si>
  <si>
    <t>Старшие тренеры направлений</t>
  </si>
  <si>
    <t>Менеджер B2B и событий</t>
  </si>
  <si>
    <t>Сотрудники кафе</t>
  </si>
  <si>
    <t>Уборка и хозблок</t>
  </si>
  <si>
    <t>Маркетолог (SMM, аутсорс)</t>
  </si>
  <si>
    <t>нет (аутсорс)</t>
  </si>
  <si>
    <t>Техник-инженер</t>
  </si>
  <si>
    <t>Штатный ФОТ, ₽/мес (взносооблагаемый)</t>
  </si>
  <si>
    <t>3 главных тренера направлений — в штате на окладах</t>
  </si>
  <si>
    <t>Аутсорс (SMM), ₽/мес</t>
  </si>
  <si>
    <t>ФОТ + аутсорс, ₽/год</t>
  </si>
  <si>
    <t>Страховые взносы, ₽/год</t>
  </si>
  <si>
    <t>ВЫРУЧКА И ПРЯМЫЕ РАСХОДЫ ПРОГРАММ, ₽/ГОД</t>
  </si>
  <si>
    <t>Детская академия: корт-часы</t>
  </si>
  <si>
    <t>Корт-часы академии, всего</t>
  </si>
  <si>
    <t>Занятий/нед × кортов × 1,5 ч × 47 нед</t>
  </si>
  <si>
    <t xml:space="preserve">  — на кортах: панорамики</t>
  </si>
  <si>
    <t xml:space="preserve">  — на кортах: бадминтон</t>
  </si>
  <si>
    <t xml:space="preserve">  — на кортах: настольный теннис</t>
  </si>
  <si>
    <t>Фонд часов (за вычетом академии)</t>
  </si>
  <si>
    <t>Загрузка (со сценарием)</t>
  </si>
  <si>
    <t>Продано корт-часов</t>
  </si>
  <si>
    <t>Доля групповых (эфф.)</t>
  </si>
  <si>
    <t>Аренда (свободная + под инд. тренировки)</t>
  </si>
  <si>
    <t>Инд. тренировки (выручка клуба)</t>
  </si>
  <si>
    <t xml:space="preserve">  гонорары инд. тренеров</t>
  </si>
  <si>
    <t>Групповые занятия (выручка)</t>
  </si>
  <si>
    <t xml:space="preserve">  гонорары тренеров групп</t>
  </si>
  <si>
    <t>Фонд часов</t>
  </si>
  <si>
    <t>Детская академия</t>
  </si>
  <si>
    <t>Человек на занятии (со сценарием)</t>
  </si>
  <si>
    <t>Занятий в год</t>
  </si>
  <si>
    <t>Выручка академии</t>
  </si>
  <si>
    <t>Тьюторов на занятии</t>
  </si>
  <si>
    <t xml:space="preserve">  гонорары тренеров и тьюторов академии</t>
  </si>
  <si>
    <t>ОФП-зал 55+</t>
  </si>
  <si>
    <t>Заполняемость (со сценарием)</t>
  </si>
  <si>
    <t>Выручка ОФП</t>
  </si>
  <si>
    <t xml:space="preserve">  гонорары тренеров ОФП</t>
  </si>
  <si>
    <t>Кафе</t>
  </si>
  <si>
    <t>Посетителей в год</t>
  </si>
  <si>
    <t>Выручка кафе</t>
  </si>
  <si>
    <t xml:space="preserve">  фудкост</t>
  </si>
  <si>
    <t>Pro-shop, события, лагеря</t>
  </si>
  <si>
    <t>Выручка pro-shop</t>
  </si>
  <si>
    <t xml:space="preserve">  себестоимость pro-shop</t>
  </si>
  <si>
    <t>Выручка событий</t>
  </si>
  <si>
    <t xml:space="preserve">  прямые расходы событий</t>
  </si>
  <si>
    <t>Выручка лагерей</t>
  </si>
  <si>
    <t xml:space="preserve">  себестоимость лагерей</t>
  </si>
  <si>
    <t>ИТОГО</t>
  </si>
  <si>
    <t>Аренда кортов</t>
  </si>
  <si>
    <t>Индивидуальные тренировки</t>
  </si>
  <si>
    <t>Групповые занятия</t>
  </si>
  <si>
    <t>ВЫРУЧКА ИТОГО</t>
  </si>
  <si>
    <t>Гонорары сдельных тренеров (все программы)</t>
  </si>
  <si>
    <t>Прямые расходы итого</t>
  </si>
  <si>
    <t>Тренеры + фудкост + себестоимости шопа/событий/лагерей (отрицательные значения)</t>
  </si>
  <si>
    <t>ОПЕРАЦИОННЫЕ РАСХОДЫ, ₽/ГОД</t>
  </si>
  <si>
    <t>Электроэнергия</t>
  </si>
  <si>
    <t>Вода</t>
  </si>
  <si>
    <t>Маркетинг</t>
  </si>
  <si>
    <t>Софт и цифровые сервисы</t>
  </si>
  <si>
    <t>Расходники</t>
  </si>
  <si>
    <t>Обслуживание</t>
  </si>
  <si>
    <t>Охрана</t>
  </si>
  <si>
    <t>Страхование</t>
  </si>
  <si>
    <t>Бухгалтерия</t>
  </si>
  <si>
    <t>Прочие</t>
  </si>
  <si>
    <t>OPEX итого</t>
  </si>
  <si>
    <t>Поддерживающий CAPEX (с года 2)</t>
  </si>
  <si>
    <t>1,5% инвестиций без оборотки; вне EBITDA, входит в FCF и налоговую базу</t>
  </si>
  <si>
    <t>ОТЧЁТ О ПРИБЫЛЯХ И УБЫТКАХ (УПРАВЛЕНЧЕСКИЙ), ₽</t>
  </si>
  <si>
    <t>Выручка</t>
  </si>
  <si>
    <t>ОФП 55+</t>
  </si>
  <si>
    <t>Pro-shop</t>
  </si>
  <si>
    <t>События и корпоративы</t>
  </si>
  <si>
    <t>Летние лагеря</t>
  </si>
  <si>
    <t>Прямые расходы</t>
  </si>
  <si>
    <t>Прямые расходы (тренеры, фудкост, себестоимости)</t>
  </si>
  <si>
    <t>Валовая прибыль</t>
  </si>
  <si>
    <t>Постоянные расходы</t>
  </si>
  <si>
    <t>ФОТ (штат + аутсорс)</t>
  </si>
  <si>
    <t>Страховые взносы</t>
  </si>
  <si>
    <t>OPEX</t>
  </si>
  <si>
    <t>НДС (кафе, pro-shop, события)</t>
  </si>
  <si>
    <t>Платёжная комиссия</t>
  </si>
  <si>
    <t>EBITDA</t>
  </si>
  <si>
    <t>Маржа EBITDA</t>
  </si>
  <si>
    <t>УСН «доходы − расходы»: CAPEX списан в год 1, перенос убытков</t>
  </si>
  <si>
    <t>Доходы</t>
  </si>
  <si>
    <t>Расходы для УСН</t>
  </si>
  <si>
    <t>Прямые+ФОТ+взносы+OPEX+НДС+комиссия+поддерж.CAPEX; год 1 — списание инвестиций</t>
  </si>
  <si>
    <t>База (доходы − расходы)</t>
  </si>
  <si>
    <t>Убыток прошлых лет (на начало)</t>
  </si>
  <si>
    <t>Использовано убытка</t>
  </si>
  <si>
    <t>Налог УСН (мин. 1% от доходов)</t>
  </si>
  <si>
    <t>Убыток на конец</t>
  </si>
  <si>
    <t>Чистый результат (EBITDA − налог)</t>
  </si>
  <si>
    <t>ДЕНЕЖНЫЙ ПОТОК И ИНВЕСТИЦИОННЫЕ МЕТРИКИ, ₽</t>
  </si>
  <si>
    <t>Год 0 (стройка)</t>
  </si>
  <si>
    <t>Инвестиции</t>
  </si>
  <si>
    <t>Налог УСН</t>
  </si>
  <si>
    <t>Поддерживающий CAPEX</t>
  </si>
  <si>
    <t>Свободный денежный поток (FCF)</t>
  </si>
  <si>
    <t>Накопленный поток</t>
  </si>
  <si>
    <t>Дисконт-фактор</t>
  </si>
  <si>
    <t>МЕТРИКИ</t>
  </si>
  <si>
    <t>Терминальная стоимость (EV/EBITDA × EBITDA г.10)</t>
  </si>
  <si>
    <t>Потоки с ТС (для IRR)</t>
  </si>
  <si>
    <t>NPV @18% (с ТС)</t>
  </si>
  <si>
    <t>NPV @18% (без ТС)</t>
  </si>
  <si>
    <t>IRR (с ТС)</t>
  </si>
  <si>
    <t>IRR (без ТС)</t>
  </si>
  <si>
    <t>Окупаемость от старта проекта, лет</t>
  </si>
  <si>
    <t>Год 0 — строительство (12 мес). Потоки годовые, финансирование собственными средствами, без долга.</t>
  </si>
  <si>
    <t>СРАВНЕНИЕ СЦЕНАРИЕВ (зафиксированный прогон; живой пересчёт — переключателем на «Допущениях»)</t>
  </si>
  <si>
    <t>Метрика</t>
  </si>
  <si>
    <t>Выручка год 1, млн ₽</t>
  </si>
  <si>
    <t>Выручка год 5, млн ₽</t>
  </si>
  <si>
    <t>Выручка год 10, млн ₽</t>
  </si>
  <si>
    <t>Маржа EBITDA год 3</t>
  </si>
  <si>
    <t>EBITDA год 5, млн ₽</t>
  </si>
  <si>
    <t>NPV @18% без ТС, млн ₽</t>
  </si>
  <si>
    <t>IRR без ТС</t>
  </si>
  <si>
    <t>ГОДОВЫЕ РЯДЫ ПО СЦЕНАРИЯМ, МЛН ₽</t>
  </si>
  <si>
    <t>Оптимистичный: выручка</t>
  </si>
  <si>
    <t>Оптимистичный: EBITDA</t>
  </si>
  <si>
    <t>Оптимистичный: FCF</t>
  </si>
  <si>
    <t>Средний: выручка</t>
  </si>
  <si>
    <t>Средний: EBITDA</t>
  </si>
  <si>
    <t>Средний: FCF</t>
  </si>
  <si>
    <t>Пессимистичный: выручка</t>
  </si>
  <si>
    <t>Пессимистичный: EBITDA</t>
  </si>
  <si>
    <t>Пессимистичный: FCF</t>
  </si>
  <si>
    <t>Сценарные множители: оптимистичный — загрузка ×1,15, цены +5%, спрос ×1,15; пессимистичный — загрузка ×0,80, цены −5%, спрос ×0,80.</t>
  </si>
  <si>
    <t>ПЕРЕБОР КОМПОЗИЦИЙ КОРТОВ — 182 ВАРИАНТА В ПЛОЩАДНОМ БЮДЖЕТЕ 1711 М² (СРЕДНИЙ СЦЕНАРИЙ)</t>
  </si>
  <si>
    <t>Критерий — окупаемость от старта. Ограничения: панорамики ≥2, бадминтон ≥2, НТ ≥2, сингл 0–2; площади 231/147/110/50 м².</t>
  </si>
  <si>
    <t>Расчёт выполнен тем же алгоритмом, что и модель (Python-прогон); живая модель построена на выбранной композиции.</t>
  </si>
  <si>
    <t>Пан.</t>
  </si>
  <si>
    <t>Бадм.</t>
  </si>
  <si>
    <t>НТ</t>
  </si>
  <si>
    <t>м²</t>
  </si>
  <si>
    <t>CAPEX, млн</t>
  </si>
  <si>
    <t>Окуп., лет</t>
  </si>
  <si>
    <t>NPV, млн</t>
  </si>
  <si>
    <t>IRR</t>
  </si>
  <si>
    <t>EBITDA г.5, млн</t>
  </si>
  <si>
    <t>Выр. г.3, млн</t>
  </si>
  <si>
    <t>Комментарий</t>
  </si>
  <si>
    <t>Формальный максимум, но хрупкий: прибыль зависит от бадминтон-групп</t>
  </si>
  <si>
    <t>← ВЫБРАНА: лучшая устойчивость к риску заполнения групп (стресс-тест ниже)</t>
  </si>
  <si>
    <t>Микс v2 — для сравнения</t>
  </si>
  <si>
    <t>СТРЕСС-ТЕСТ ДОПУЩЕНИЯ О ВЗРОСЛЫХ ГРУППАХ (окупаемость от старта, лет / NPV, млн ₽)</t>
  </si>
  <si>
    <t>Композиция (П/С/Б/НТ)</t>
  </si>
  <si>
    <t>База: группы 30%</t>
  </si>
  <si>
    <t>Бадм. группы 15%</t>
  </si>
  <si>
    <t>Без взрослых групп</t>
  </si>
  <si>
    <t>Вывод</t>
  </si>
  <si>
    <t>2/0/10/2</t>
  </si>
  <si>
    <t>Лидер базы; провал без групп</t>
  </si>
  <si>
    <t>3/0/8/2</t>
  </si>
  <si>
    <t>Хорош в базе, середина в стрессах</t>
  </si>
  <si>
    <t>4/0/6/2</t>
  </si>
  <si>
    <t>Сбалансированный компромисс</t>
  </si>
  <si>
    <t>5/0/4/2</t>
  </si>
  <si>
    <t>РЕКОМЕНДОВАН: минимаксное сожаление по трём мирам</t>
  </si>
  <si>
    <t>4/1/4/4</t>
  </si>
  <si>
    <t>Микс v2: проигрывает во всех мирах</t>
  </si>
  <si>
    <t>2/0/9/5</t>
  </si>
  <si>
    <t>Бадминтон+НТ: хрупкий</t>
  </si>
  <si>
    <t>ВЫВОД: формальный лидер 2/0/10/2 без групповых программ теряет ~1,9 года окупаемости и 183 млн NPV.</t>
  </si>
  <si>
    <t>5/0/4/2 — минимаксный выбор: 5-е место в базе (+0,11 года к лидеру), 1-е при ослаблении групп, 2-е без групп; падел-якорь соответствует рыночному окну.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</si>
</sst>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\x"/>
    <numFmt numFmtId="166" formatCode="0.0"/>
  </numFmts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sz val="10"/>
      <color rgb="FF008000"/>
      <name val="Arial"/>
      <family val="2"/>
    </font>
    <font>
      <i/>
      <sz val="9"/>
      <color rgb="FF80808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AF1FB"/>
      </patternFill>
    </fill>
    <fill>
      <patternFill patternType="solid">
        <fgColor rgb="FFEAF1FB"/>
        <bgColor rgb="FFD9E2F3"/>
      </patternFill>
    </fill>
    <fill>
      <patternFill patternType="solid">
        <fgColor rgb="FFFFF2CC"/>
        <bgColor rgb="FFEAF1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B0B0B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3" fillId="3" borderId="0" xfId="0" applyFont="1" applyFill="1"/>
    <xf numFmtId="0" fontId="0" fillId="3" borderId="0" xfId="0" applyFill="1"/>
    <xf numFmtId="1" fontId="4" fillId="0" borderId="0" xfId="0" applyNumberFormat="1" applyFont="1"/>
    <xf numFmtId="0" fontId="5" fillId="0" borderId="0" xfId="0" applyFont="1"/>
    <xf numFmtId="0" fontId="6" fillId="0" borderId="0" xfId="0" applyFont="1"/>
    <xf numFmtId="3" fontId="4" fillId="0" borderId="0" xfId="0" applyNumberFormat="1" applyFon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2" fontId="4" fillId="0" borderId="0" xfId="0" applyNumberFormat="1" applyFont="1"/>
    <xf numFmtId="164" fontId="4" fillId="0" borderId="0" xfId="0" applyNumberFormat="1" applyFont="1"/>
    <xf numFmtId="3" fontId="7" fillId="4" borderId="0" xfId="0" applyNumberFormat="1" applyFont="1" applyFill="1"/>
    <xf numFmtId="9" fontId="7" fillId="4" borderId="0" xfId="0" applyNumberFormat="1" applyFont="1" applyFill="1"/>
    <xf numFmtId="1" fontId="7" fillId="4" borderId="0" xfId="0" applyNumberFormat="1" applyFont="1" applyFill="1"/>
    <xf numFmtId="4" fontId="7" fillId="4" borderId="0" xfId="0" applyNumberFormat="1" applyFont="1" applyFill="1"/>
    <xf numFmtId="4" fontId="2" fillId="0" borderId="0" xfId="0" applyNumberFormat="1" applyFont="1"/>
    <xf numFmtId="164" fontId="7" fillId="4" borderId="0" xfId="0" applyNumberFormat="1" applyFont="1" applyFill="1"/>
    <xf numFmtId="165" fontId="7" fillId="4" borderId="0" xfId="0" applyNumberFormat="1" applyFont="1" applyFill="1"/>
    <xf numFmtId="0" fontId="6" fillId="0" borderId="1" xfId="0" applyFont="1" applyBorder="1" applyAlignment="1">
      <alignment horizontal="center"/>
    </xf>
    <xf numFmtId="3" fontId="6" fillId="0" borderId="0" xfId="0" applyNumberFormat="1" applyFont="1"/>
    <xf numFmtId="166" fontId="7" fillId="4" borderId="0" xfId="0" applyNumberFormat="1" applyFont="1" applyFill="1"/>
    <xf numFmtId="3" fontId="2" fillId="0" borderId="0" xfId="0" applyNumberFormat="1" applyFont="1"/>
    <xf numFmtId="0" fontId="6" fillId="5" borderId="0" xfId="0" applyFont="1" applyFill="1"/>
    <xf numFmtId="3" fontId="6" fillId="5" borderId="0" xfId="0" applyNumberFormat="1" applyFont="1" applyFill="1"/>
    <xf numFmtId="0" fontId="7" fillId="4" borderId="0" xfId="0" applyFont="1" applyFill="1"/>
    <xf numFmtId="164" fontId="2" fillId="0" borderId="0" xfId="0" applyNumberFormat="1" applyFont="1"/>
    <xf numFmtId="9" fontId="2" fillId="0" borderId="0" xfId="0" applyNumberFormat="1" applyFont="1"/>
    <xf numFmtId="166" fontId="2" fillId="0" borderId="0" xfId="0" applyNumberFormat="1" applyFont="1"/>
    <xf numFmtId="1" fontId="2" fillId="0" borderId="0" xfId="0" applyNumberFormat="1" applyFont="1"/>
    <xf numFmtId="2" fontId="6" fillId="5" borderId="0" xfId="0" applyNumberFormat="1" applyFont="1" applyFill="1"/>
    <xf numFmtId="0" fontId="6" fillId="0" borderId="1" xfId="0" applyFont="1" applyBorder="1"/>
    <xf numFmtId="0" fontId="2" fillId="5" borderId="0" xfId="0" applyFont="1" applyFill="1"/>
    <xf numFmtId="2" fontId="0" fillId="5" borderId="0" xfId="0" applyNumberFormat="1" applyFill="1"/>
    <xf numFmtId="3" fontId="0" fillId="5" borderId="0" xfId="0" applyNumberFormat="1" applyFill="1"/>
    <xf numFmtId="1" fontId="0" fillId="0" borderId="0" xfId="0" applyNumberFormat="1"/>
    <xf numFmtId="1" fontId="0" fillId="5" borderId="0" xfId="0" applyNumberFormat="1" applyFill="1"/>
    <xf numFmtId="164" fontId="0" fillId="5" borderId="0" xfId="0" applyNumberForma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4"/>
  <sheetViews>
    <sheetView zoomScaleNormal="100" workbookViewId="0">
      <pane ySplit="2" topLeftCell="A3" activePane="bottomLeft" state="frozen"/>
      <selection pane="bottomLeft"/>
    </sheetView>
  </sheetViews>
  <sheetFormatPr baseColWidth="10" defaultColWidth="8.6640625" defaultRowHeight="15" x14ac:dyDescent="0.2"/>
  <cols>
    <col min="1" max="1" width="50" customWidth="1"/>
    <col min="2" max="4" width="17" customWidth="1"/>
    <col min="5" max="5" width="60" customWidth="1"/>
  </cols>
  <sheetData>
    <row r="1" spans="1:13" ht="15.7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15" customHeight="1" x14ac:dyDescent="0.2">
      <c r="A3" s="3" t="s">
        <v>1</v>
      </c>
    </row>
    <row r="4" spans="1:13" ht="15" customHeight="1" x14ac:dyDescent="0.2">
      <c r="A4" s="3" t="s">
        <v>2</v>
      </c>
    </row>
    <row r="6" spans="1:13" ht="15" customHeight="1" x14ac:dyDescent="0.2">
      <c r="A6" s="4" t="s">
        <v>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ht="15" customHeight="1" x14ac:dyDescent="0.2">
      <c r="A7" s="3" t="s">
        <v>4</v>
      </c>
      <c r="B7" s="6">
        <f>Допущения!$B$6</f>
        <v>5</v>
      </c>
    </row>
    <row r="8" spans="1:13" ht="15" customHeight="1" x14ac:dyDescent="0.2">
      <c r="A8" s="3" t="s">
        <v>5</v>
      </c>
      <c r="B8" s="6">
        <f>Допущения!$B$7</f>
        <v>0</v>
      </c>
      <c r="C8" s="7" t="s">
        <v>6</v>
      </c>
    </row>
    <row r="9" spans="1:13" ht="15" customHeight="1" x14ac:dyDescent="0.2">
      <c r="A9" s="3" t="s">
        <v>7</v>
      </c>
      <c r="B9" s="6">
        <f>Допущения!$B$8</f>
        <v>4</v>
      </c>
    </row>
    <row r="10" spans="1:13" ht="15" customHeight="1" x14ac:dyDescent="0.2">
      <c r="A10" s="3" t="s">
        <v>8</v>
      </c>
      <c r="B10" s="6">
        <f>Допущения!$B$9</f>
        <v>2</v>
      </c>
      <c r="C10" s="7" t="s">
        <v>9</v>
      </c>
    </row>
    <row r="11" spans="1:13" ht="15" customHeight="1" x14ac:dyDescent="0.2">
      <c r="A11" s="8" t="s">
        <v>10</v>
      </c>
      <c r="B11" s="9">
        <f>CAPEX!$B$26</f>
        <v>251635200.00000003</v>
      </c>
    </row>
    <row r="13" spans="1:13" ht="15" customHeight="1" x14ac:dyDescent="0.2">
      <c r="A13" s="4" t="s">
        <v>11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5" customHeight="1" x14ac:dyDescent="0.2">
      <c r="A14" s="8"/>
      <c r="B14" s="8" t="s">
        <v>12</v>
      </c>
      <c r="C14" s="8" t="s">
        <v>13</v>
      </c>
      <c r="D14" s="8" t="s">
        <v>14</v>
      </c>
    </row>
    <row r="15" spans="1:13" ht="15" customHeight="1" x14ac:dyDescent="0.2">
      <c r="A15" s="3" t="s">
        <v>15</v>
      </c>
      <c r="B15" s="10">
        <v>217.26169481162</v>
      </c>
      <c r="C15" s="10">
        <v>183.477076390268</v>
      </c>
      <c r="D15" s="10">
        <v>139.96077046568001</v>
      </c>
    </row>
    <row r="16" spans="1:13" ht="15" customHeight="1" x14ac:dyDescent="0.2">
      <c r="A16" s="3" t="s">
        <v>16</v>
      </c>
      <c r="B16" s="10">
        <v>106.255582033216</v>
      </c>
      <c r="C16" s="10">
        <v>80.358295058421206</v>
      </c>
      <c r="D16" s="10">
        <v>46.5060555821061</v>
      </c>
    </row>
    <row r="17" spans="1:13" ht="15" customHeight="1" x14ac:dyDescent="0.2">
      <c r="A17" s="3" t="s">
        <v>17</v>
      </c>
      <c r="B17" s="11">
        <v>4.12000234974973</v>
      </c>
      <c r="C17" s="11">
        <v>4.9510358412339404</v>
      </c>
      <c r="D17" s="11">
        <v>7.1417371986286398</v>
      </c>
    </row>
    <row r="18" spans="1:13" ht="15" customHeight="1" x14ac:dyDescent="0.2">
      <c r="A18" s="3" t="s">
        <v>18</v>
      </c>
      <c r="B18" s="10">
        <v>350.798869302735</v>
      </c>
      <c r="C18" s="10">
        <v>197.87062934704099</v>
      </c>
      <c r="D18" s="10">
        <v>2.6850012606689</v>
      </c>
    </row>
    <row r="19" spans="1:13" ht="15" customHeight="1" x14ac:dyDescent="0.2">
      <c r="A19" s="3" t="s">
        <v>19</v>
      </c>
      <c r="B19" s="12">
        <v>0.38884458570383701</v>
      </c>
      <c r="C19" s="12">
        <v>0.306109342738419</v>
      </c>
      <c r="D19" s="12">
        <v>0.18198976236259301</v>
      </c>
    </row>
    <row r="21" spans="1:13" ht="15" customHeight="1" x14ac:dyDescent="0.2">
      <c r="A21" s="4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ht="15" customHeight="1" x14ac:dyDescent="0.2">
      <c r="A22" s="8" t="s">
        <v>17</v>
      </c>
      <c r="B22" s="13">
        <f>ДДС!$B$20</f>
        <v>4.9510358412339377</v>
      </c>
    </row>
    <row r="23" spans="1:13" ht="15" customHeight="1" x14ac:dyDescent="0.2">
      <c r="A23" s="3" t="s">
        <v>21</v>
      </c>
      <c r="B23" s="13">
        <f>ДДС!$B$19</f>
        <v>3.9510358412339377</v>
      </c>
    </row>
    <row r="24" spans="1:13" ht="15" customHeight="1" x14ac:dyDescent="0.2">
      <c r="A24" s="8" t="s">
        <v>22</v>
      </c>
      <c r="B24" s="9">
        <f>ДДС!$B$15</f>
        <v>197870629.34704065</v>
      </c>
    </row>
    <row r="25" spans="1:13" ht="15" customHeight="1" x14ac:dyDescent="0.2">
      <c r="A25" s="8" t="s">
        <v>19</v>
      </c>
      <c r="B25" s="14">
        <f>ДДС!$B$17</f>
        <v>0.30610934273841894</v>
      </c>
    </row>
    <row r="26" spans="1:13" ht="15" customHeight="1" x14ac:dyDescent="0.2">
      <c r="A26" s="3" t="s">
        <v>23</v>
      </c>
      <c r="B26" s="9">
        <f>PL!E24</f>
        <v>80358295.058421209</v>
      </c>
    </row>
    <row r="28" spans="1:13" ht="15" customHeight="1" x14ac:dyDescent="0.2">
      <c r="A28" s="4" t="s">
        <v>24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ht="15" customHeight="1" x14ac:dyDescent="0.2">
      <c r="A29" s="3" t="s">
        <v>25</v>
      </c>
    </row>
    <row r="30" spans="1:13" ht="15" customHeight="1" x14ac:dyDescent="0.2">
      <c r="A30" s="3" t="s">
        <v>26</v>
      </c>
    </row>
    <row r="31" spans="1:13" ht="15" customHeight="1" x14ac:dyDescent="0.2">
      <c r="A31" s="3" t="s">
        <v>27</v>
      </c>
    </row>
    <row r="32" spans="1:13" ht="15" customHeight="1" x14ac:dyDescent="0.2">
      <c r="A32" s="3" t="s">
        <v>28</v>
      </c>
    </row>
    <row r="33" spans="1:1" ht="15" customHeight="1" x14ac:dyDescent="0.2">
      <c r="A33" s="3" t="s">
        <v>29</v>
      </c>
    </row>
    <row r="34" spans="1:1" ht="15" customHeight="1" x14ac:dyDescent="0.2">
      <c r="A34" s="3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9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52" customWidth="1"/>
    <col min="2" max="2" width="13" customWidth="1"/>
    <col min="3" max="12" width="10.5" customWidth="1"/>
    <col min="13" max="13" width="46" customWidth="1"/>
  </cols>
  <sheetData>
    <row r="1" spans="1:13" ht="15.75" customHeight="1" x14ac:dyDescent="0.2">
      <c r="A1" s="1" t="s">
        <v>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15" customHeight="1" x14ac:dyDescent="0.2">
      <c r="A3" s="3" t="s">
        <v>32</v>
      </c>
      <c r="C3" s="7" t="s">
        <v>33</v>
      </c>
    </row>
    <row r="5" spans="1:13" ht="15" customHeight="1" x14ac:dyDescent="0.2">
      <c r="A5" s="4" t="s">
        <v>34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15" customHeight="1" x14ac:dyDescent="0.2">
      <c r="A6" s="3" t="s">
        <v>4</v>
      </c>
      <c r="B6" s="15">
        <v>5</v>
      </c>
      <c r="C6" s="7" t="s">
        <v>35</v>
      </c>
    </row>
    <row r="7" spans="1:13" ht="15" customHeight="1" x14ac:dyDescent="0.2">
      <c r="A7" s="3" t="s">
        <v>36</v>
      </c>
      <c r="B7" s="15">
        <v>0</v>
      </c>
      <c r="C7" s="7" t="s">
        <v>37</v>
      </c>
    </row>
    <row r="8" spans="1:13" ht="15" customHeight="1" x14ac:dyDescent="0.2">
      <c r="A8" s="3" t="s">
        <v>7</v>
      </c>
      <c r="B8" s="15">
        <v>4</v>
      </c>
    </row>
    <row r="9" spans="1:13" ht="15" customHeight="1" x14ac:dyDescent="0.2">
      <c r="A9" s="3" t="s">
        <v>8</v>
      </c>
      <c r="B9" s="15">
        <v>2</v>
      </c>
    </row>
    <row r="10" spans="1:13" ht="15" customHeight="1" x14ac:dyDescent="0.2">
      <c r="A10" s="3" t="s">
        <v>38</v>
      </c>
      <c r="B10" s="15">
        <v>16</v>
      </c>
      <c r="C10" s="7" t="s">
        <v>39</v>
      </c>
    </row>
    <row r="11" spans="1:13" ht="15" customHeight="1" x14ac:dyDescent="0.2">
      <c r="A11" s="3" t="s">
        <v>40</v>
      </c>
      <c r="B11" s="15">
        <v>360</v>
      </c>
    </row>
    <row r="12" spans="1:13" ht="15" customHeight="1" x14ac:dyDescent="0.2">
      <c r="A12" s="3" t="s">
        <v>41</v>
      </c>
      <c r="B12" s="16">
        <v>0.92</v>
      </c>
      <c r="C12" s="7" t="s">
        <v>42</v>
      </c>
    </row>
    <row r="14" spans="1:13" ht="15" customHeight="1" x14ac:dyDescent="0.2">
      <c r="A14" s="4" t="s">
        <v>43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15" customHeight="1" x14ac:dyDescent="0.2">
      <c r="A15" s="3" t="s">
        <v>44</v>
      </c>
      <c r="B15" s="17">
        <v>2</v>
      </c>
      <c r="C15" s="7" t="s">
        <v>45</v>
      </c>
    </row>
    <row r="16" spans="1:13" ht="15" customHeight="1" x14ac:dyDescent="0.2">
      <c r="A16" s="3" t="s">
        <v>46</v>
      </c>
      <c r="C16" s="8" t="s">
        <v>47</v>
      </c>
      <c r="D16" s="8" t="s">
        <v>48</v>
      </c>
      <c r="E16" s="8" t="s">
        <v>49</v>
      </c>
    </row>
    <row r="17" spans="1:13" ht="15" customHeight="1" x14ac:dyDescent="0.2">
      <c r="A17" s="3" t="s">
        <v>50</v>
      </c>
      <c r="C17" s="18">
        <v>1.1499999999999999</v>
      </c>
      <c r="D17" s="18">
        <v>1.05</v>
      </c>
      <c r="E17" s="18">
        <v>1.1499999999999999</v>
      </c>
    </row>
    <row r="18" spans="1:13" ht="15" customHeight="1" x14ac:dyDescent="0.2">
      <c r="A18" s="3" t="s">
        <v>51</v>
      </c>
      <c r="C18" s="18">
        <v>1</v>
      </c>
      <c r="D18" s="18">
        <v>1</v>
      </c>
      <c r="E18" s="18">
        <v>1</v>
      </c>
    </row>
    <row r="19" spans="1:13" ht="15" customHeight="1" x14ac:dyDescent="0.2">
      <c r="A19" s="3" t="s">
        <v>52</v>
      </c>
      <c r="C19" s="18">
        <v>0.8</v>
      </c>
      <c r="D19" s="18">
        <v>0.95</v>
      </c>
      <c r="E19" s="18">
        <v>0.8</v>
      </c>
    </row>
    <row r="20" spans="1:13" ht="15" customHeight="1" x14ac:dyDescent="0.2">
      <c r="A20" s="3" t="s">
        <v>53</v>
      </c>
      <c r="B20" s="19">
        <f>INDEX(C17:C19,Допущения!$B$15)</f>
        <v>1</v>
      </c>
    </row>
    <row r="21" spans="1:13" ht="15" customHeight="1" x14ac:dyDescent="0.2">
      <c r="A21" s="3" t="s">
        <v>54</v>
      </c>
      <c r="B21" s="19">
        <f>INDEX(D17:D19,Допущения!$B$15)</f>
        <v>1</v>
      </c>
    </row>
    <row r="22" spans="1:13" ht="15" customHeight="1" x14ac:dyDescent="0.2">
      <c r="A22" s="3" t="s">
        <v>55</v>
      </c>
      <c r="B22" s="19">
        <f>INDEX(E17:E19,Допущения!$B$15)</f>
        <v>1</v>
      </c>
    </row>
    <row r="24" spans="1:13" ht="15" customHeight="1" x14ac:dyDescent="0.2">
      <c r="A24" s="4" t="s">
        <v>56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ht="15" customHeight="1" x14ac:dyDescent="0.2">
      <c r="A25" s="3" t="s">
        <v>57</v>
      </c>
      <c r="B25" s="16">
        <v>0.05</v>
      </c>
    </row>
    <row r="26" spans="1:13" ht="15" customHeight="1" x14ac:dyDescent="0.2">
      <c r="A26" s="3" t="s">
        <v>58</v>
      </c>
      <c r="B26" s="16">
        <v>0.06</v>
      </c>
    </row>
    <row r="27" spans="1:13" ht="15" customHeight="1" x14ac:dyDescent="0.2">
      <c r="A27" s="3" t="s">
        <v>59</v>
      </c>
      <c r="B27" s="16">
        <v>7.0000000000000007E-2</v>
      </c>
    </row>
    <row r="28" spans="1:13" ht="15" customHeight="1" x14ac:dyDescent="0.2">
      <c r="A28" s="3" t="s">
        <v>60</v>
      </c>
      <c r="B28" s="16">
        <v>7.0000000000000007E-2</v>
      </c>
      <c r="C28" s="7" t="s">
        <v>61</v>
      </c>
    </row>
    <row r="29" spans="1:13" ht="15" customHeight="1" x14ac:dyDescent="0.2">
      <c r="A29" s="3" t="s">
        <v>62</v>
      </c>
      <c r="B29" s="16">
        <v>0.01</v>
      </c>
    </row>
    <row r="30" spans="1:13" ht="15" customHeight="1" x14ac:dyDescent="0.2">
      <c r="A30" s="3" t="s">
        <v>63</v>
      </c>
      <c r="B30" s="16">
        <v>0.23</v>
      </c>
      <c r="C30" s="7" t="s">
        <v>64</v>
      </c>
    </row>
    <row r="31" spans="1:13" ht="15" customHeight="1" x14ac:dyDescent="0.2">
      <c r="A31" s="3" t="s">
        <v>65</v>
      </c>
      <c r="B31" s="20">
        <v>0.01</v>
      </c>
    </row>
    <row r="32" spans="1:13" ht="15" customHeight="1" x14ac:dyDescent="0.2">
      <c r="A32" s="3" t="s">
        <v>66</v>
      </c>
      <c r="B32" s="16">
        <v>0.9</v>
      </c>
    </row>
    <row r="33" spans="1:13" ht="15" customHeight="1" x14ac:dyDescent="0.2">
      <c r="A33" s="3" t="s">
        <v>67</v>
      </c>
      <c r="B33" s="16">
        <v>0.05</v>
      </c>
      <c r="C33" s="7" t="s">
        <v>68</v>
      </c>
    </row>
    <row r="34" spans="1:13" ht="15" customHeight="1" x14ac:dyDescent="0.2">
      <c r="A34" s="3" t="s">
        <v>69</v>
      </c>
      <c r="B34" s="16">
        <v>0.18</v>
      </c>
    </row>
    <row r="35" spans="1:13" ht="15" customHeight="1" x14ac:dyDescent="0.2">
      <c r="A35" s="3" t="s">
        <v>70</v>
      </c>
      <c r="B35" s="21">
        <v>5</v>
      </c>
    </row>
    <row r="37" spans="1:13" ht="15" customHeight="1" x14ac:dyDescent="0.2">
      <c r="A37" s="8" t="s">
        <v>71</v>
      </c>
      <c r="C37" s="22" t="s">
        <v>72</v>
      </c>
      <c r="D37" s="22" t="s">
        <v>73</v>
      </c>
      <c r="E37" s="22" t="s">
        <v>74</v>
      </c>
      <c r="F37" s="22" t="s">
        <v>75</v>
      </c>
      <c r="G37" s="22" t="s">
        <v>76</v>
      </c>
      <c r="H37" s="22" t="s">
        <v>77</v>
      </c>
      <c r="I37" s="22" t="s">
        <v>78</v>
      </c>
      <c r="J37" s="22" t="s">
        <v>79</v>
      </c>
      <c r="K37" s="22" t="s">
        <v>80</v>
      </c>
      <c r="L37" s="22" t="s">
        <v>81</v>
      </c>
    </row>
    <row r="38" spans="1:13" ht="15" customHeight="1" x14ac:dyDescent="0.2">
      <c r="A38" s="3" t="s">
        <v>82</v>
      </c>
      <c r="C38" s="19">
        <f>(1+Допущения!$B$25)^0</f>
        <v>1</v>
      </c>
      <c r="D38" s="19">
        <f>(1+Допущения!$B$25)^1</f>
        <v>1.05</v>
      </c>
      <c r="E38" s="19">
        <f>(1+Допущения!$B$25)^2</f>
        <v>1.1025</v>
      </c>
      <c r="F38" s="19">
        <f>(1+Допущения!$B$25)^3</f>
        <v>1.1576250000000001</v>
      </c>
      <c r="G38" s="19">
        <f>(1+Допущения!$B$25)^4</f>
        <v>1.21550625</v>
      </c>
      <c r="H38" s="19">
        <f>(1+Допущения!$B$25)^5</f>
        <v>1.2762815625000001</v>
      </c>
      <c r="I38" s="19">
        <f>(1+Допущения!$B$25)^6</f>
        <v>1.340095640625</v>
      </c>
      <c r="J38" s="19">
        <f>(1+Допущения!$B$25)^7</f>
        <v>1.4071004226562502</v>
      </c>
      <c r="K38" s="19">
        <f>(1+Допущения!$B$25)^8</f>
        <v>1.4774554437890626</v>
      </c>
      <c r="L38" s="19">
        <f>(1+Допущения!$B$25)^9</f>
        <v>1.5513282159785158</v>
      </c>
    </row>
    <row r="39" spans="1:13" ht="15" customHeight="1" x14ac:dyDescent="0.2">
      <c r="A39" s="3" t="s">
        <v>83</v>
      </c>
      <c r="C39" s="19">
        <f>C38*Допущения!$B$21</f>
        <v>1</v>
      </c>
      <c r="D39" s="19">
        <f>D38*Допущения!$B$21</f>
        <v>1.05</v>
      </c>
      <c r="E39" s="19">
        <f>E38*Допущения!$B$21</f>
        <v>1.1025</v>
      </c>
      <c r="F39" s="19">
        <f>F38*Допущения!$B$21</f>
        <v>1.1576250000000001</v>
      </c>
      <c r="G39" s="19">
        <f>G38*Допущения!$B$21</f>
        <v>1.21550625</v>
      </c>
      <c r="H39" s="19">
        <f>H38*Допущения!$B$21</f>
        <v>1.2762815625000001</v>
      </c>
      <c r="I39" s="19">
        <f>I38*Допущения!$B$21</f>
        <v>1.340095640625</v>
      </c>
      <c r="J39" s="19">
        <f>J38*Допущения!$B$21</f>
        <v>1.4071004226562502</v>
      </c>
      <c r="K39" s="19">
        <f>K38*Допущения!$B$21</f>
        <v>1.4774554437890626</v>
      </c>
      <c r="L39" s="19">
        <f>L38*Допущения!$B$21</f>
        <v>1.5513282159785158</v>
      </c>
    </row>
    <row r="40" spans="1:13" ht="15" customHeight="1" x14ac:dyDescent="0.2">
      <c r="A40" s="3" t="s">
        <v>84</v>
      </c>
      <c r="C40" s="19">
        <f>(1+Допущения!$B$26)^0</f>
        <v>1</v>
      </c>
      <c r="D40" s="19">
        <f>(1+Допущения!$B$26)^1</f>
        <v>1.06</v>
      </c>
      <c r="E40" s="19">
        <f>(1+Допущения!$B$26)^2</f>
        <v>1.1236000000000002</v>
      </c>
      <c r="F40" s="19">
        <f>(1+Допущения!$B$26)^3</f>
        <v>1.1910160000000003</v>
      </c>
      <c r="G40" s="19">
        <f>(1+Допущения!$B$26)^4</f>
        <v>1.2624769600000003</v>
      </c>
      <c r="H40" s="19">
        <f>(1+Допущения!$B$26)^5</f>
        <v>1.3382255776000005</v>
      </c>
      <c r="I40" s="19">
        <f>(1+Допущения!$B$26)^6</f>
        <v>1.4185191122560006</v>
      </c>
      <c r="J40" s="19">
        <f>(1+Допущения!$B$26)^7</f>
        <v>1.5036302589913608</v>
      </c>
      <c r="K40" s="19">
        <f>(1+Допущения!$B$26)^8</f>
        <v>1.5938480745308423</v>
      </c>
      <c r="L40" s="19">
        <f>(1+Допущения!$B$26)^9</f>
        <v>1.6894789590026928</v>
      </c>
    </row>
    <row r="41" spans="1:13" ht="15" customHeight="1" x14ac:dyDescent="0.2">
      <c r="A41" s="3" t="s">
        <v>85</v>
      </c>
      <c r="C41" s="19">
        <f>(1+Допущения!$B$27)^0</f>
        <v>1</v>
      </c>
      <c r="D41" s="19">
        <f>(1+Допущения!$B$27)^1</f>
        <v>1.07</v>
      </c>
      <c r="E41" s="19">
        <f>(1+Допущения!$B$27)^2</f>
        <v>1.1449</v>
      </c>
      <c r="F41" s="19">
        <f>(1+Допущения!$B$27)^3</f>
        <v>1.2250430000000001</v>
      </c>
      <c r="G41" s="19">
        <f>(1+Допущения!$B$27)^4</f>
        <v>1.31079601</v>
      </c>
      <c r="H41" s="19">
        <f>(1+Допущения!$B$27)^5</f>
        <v>1.4025517307000002</v>
      </c>
      <c r="I41" s="19">
        <f>(1+Допущения!$B$27)^6</f>
        <v>1.5007303518490001</v>
      </c>
      <c r="J41" s="19">
        <f>(1+Допущения!$B$27)^7</f>
        <v>1.6057814764784302</v>
      </c>
      <c r="K41" s="19">
        <f>(1+Допущения!$B$27)^8</f>
        <v>1.7181861798319202</v>
      </c>
      <c r="L41" s="19">
        <f>(1+Допущения!$B$27)^9</f>
        <v>1.8384592124201549</v>
      </c>
    </row>
    <row r="43" spans="1:13" ht="15" customHeight="1" x14ac:dyDescent="0.2">
      <c r="A43" s="4" t="s">
        <v>86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ht="15" customHeight="1" x14ac:dyDescent="0.2">
      <c r="A44" s="3" t="s">
        <v>87</v>
      </c>
      <c r="B44" s="15">
        <v>4700</v>
      </c>
    </row>
    <row r="45" spans="1:13" ht="15" customHeight="1" x14ac:dyDescent="0.2">
      <c r="A45" s="3" t="s">
        <v>88</v>
      </c>
      <c r="B45" s="15">
        <v>2500</v>
      </c>
    </row>
    <row r="46" spans="1:13" ht="15" customHeight="1" x14ac:dyDescent="0.2">
      <c r="A46" s="3" t="s">
        <v>89</v>
      </c>
      <c r="B46" s="16">
        <v>0.55000000000000004</v>
      </c>
    </row>
    <row r="47" spans="1:13" ht="15" customHeight="1" x14ac:dyDescent="0.2">
      <c r="A47" s="8" t="s">
        <v>90</v>
      </c>
      <c r="B47" s="23">
        <f>B44*B46+B45*(1-B46)</f>
        <v>3710</v>
      </c>
    </row>
    <row r="48" spans="1:13" ht="15" customHeight="1" x14ac:dyDescent="0.2">
      <c r="A48" s="3" t="s">
        <v>91</v>
      </c>
      <c r="B48" s="15">
        <v>2900</v>
      </c>
    </row>
    <row r="49" spans="1:13" ht="15" customHeight="1" x14ac:dyDescent="0.2">
      <c r="A49" s="3" t="s">
        <v>92</v>
      </c>
      <c r="B49" s="15">
        <v>2000</v>
      </c>
    </row>
    <row r="50" spans="1:13" ht="15" customHeight="1" x14ac:dyDescent="0.2">
      <c r="A50" s="3" t="s">
        <v>93</v>
      </c>
      <c r="B50" s="16">
        <v>0.5</v>
      </c>
    </row>
    <row r="51" spans="1:13" ht="15" customHeight="1" x14ac:dyDescent="0.2">
      <c r="A51" s="8" t="s">
        <v>94</v>
      </c>
      <c r="B51" s="23">
        <f>B48*B50+B49*(1-B50)</f>
        <v>2450</v>
      </c>
    </row>
    <row r="52" spans="1:13" ht="15" customHeight="1" x14ac:dyDescent="0.2">
      <c r="A52" s="3" t="s">
        <v>95</v>
      </c>
      <c r="B52" s="15">
        <v>1800</v>
      </c>
    </row>
    <row r="53" spans="1:13" ht="15" customHeight="1" x14ac:dyDescent="0.2">
      <c r="A53" s="3" t="s">
        <v>96</v>
      </c>
      <c r="B53" s="15">
        <v>1300</v>
      </c>
    </row>
    <row r="54" spans="1:13" ht="15" customHeight="1" x14ac:dyDescent="0.2">
      <c r="A54" s="3" t="s">
        <v>97</v>
      </c>
      <c r="B54" s="16">
        <v>0.4</v>
      </c>
    </row>
    <row r="55" spans="1:13" ht="15" customHeight="1" x14ac:dyDescent="0.2">
      <c r="A55" s="8" t="s">
        <v>98</v>
      </c>
      <c r="B55" s="23">
        <f>B52*B54+B53*(1-B54)</f>
        <v>1500</v>
      </c>
    </row>
    <row r="56" spans="1:13" ht="15" customHeight="1" x14ac:dyDescent="0.2">
      <c r="A56" s="3" t="s">
        <v>99</v>
      </c>
      <c r="B56" s="15">
        <v>800</v>
      </c>
    </row>
    <row r="57" spans="1:13" ht="15" customHeight="1" x14ac:dyDescent="0.2">
      <c r="A57" s="3" t="s">
        <v>100</v>
      </c>
      <c r="B57" s="15">
        <v>550</v>
      </c>
    </row>
    <row r="58" spans="1:13" ht="15" customHeight="1" x14ac:dyDescent="0.2">
      <c r="A58" s="3" t="s">
        <v>101</v>
      </c>
      <c r="B58" s="16">
        <v>0.55000000000000004</v>
      </c>
    </row>
    <row r="59" spans="1:13" ht="15" customHeight="1" x14ac:dyDescent="0.2">
      <c r="A59" s="8" t="s">
        <v>102</v>
      </c>
      <c r="B59" s="23">
        <f>B56*B58+B57*(1-B58)</f>
        <v>687.5</v>
      </c>
    </row>
    <row r="61" spans="1:13" ht="15" customHeight="1" x14ac:dyDescent="0.2">
      <c r="A61" s="4" t="s">
        <v>103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ht="15" customHeight="1" x14ac:dyDescent="0.2">
      <c r="A62" s="8" t="s">
        <v>71</v>
      </c>
      <c r="C62" s="22" t="s">
        <v>72</v>
      </c>
      <c r="D62" s="22" t="s">
        <v>73</v>
      </c>
      <c r="E62" s="22" t="s">
        <v>74</v>
      </c>
      <c r="F62" s="22" t="s">
        <v>75</v>
      </c>
      <c r="G62" s="22" t="s">
        <v>76</v>
      </c>
      <c r="H62" s="22" t="s">
        <v>77</v>
      </c>
      <c r="I62" s="22" t="s">
        <v>78</v>
      </c>
      <c r="J62" s="22" t="s">
        <v>79</v>
      </c>
      <c r="K62" s="22" t="s">
        <v>80</v>
      </c>
      <c r="L62" s="22" t="s">
        <v>81</v>
      </c>
    </row>
    <row r="63" spans="1:13" ht="15" customHeight="1" x14ac:dyDescent="0.2">
      <c r="A63" s="3" t="s">
        <v>104</v>
      </c>
      <c r="C63" s="16">
        <v>0.38</v>
      </c>
      <c r="D63" s="16">
        <v>0.52</v>
      </c>
      <c r="E63" s="16">
        <v>0.55000000000000004</v>
      </c>
      <c r="F63" s="16">
        <v>0.56999999999999995</v>
      </c>
      <c r="G63" s="16">
        <v>0.57999999999999996</v>
      </c>
      <c r="H63" s="16">
        <v>0.59</v>
      </c>
      <c r="I63" s="16">
        <v>0.6</v>
      </c>
      <c r="J63" s="16">
        <v>0.6</v>
      </c>
      <c r="K63" s="16">
        <v>0.6</v>
      </c>
      <c r="L63" s="16">
        <v>0.6</v>
      </c>
    </row>
    <row r="64" spans="1:13" ht="15" customHeight="1" x14ac:dyDescent="0.2">
      <c r="A64" s="3" t="s">
        <v>105</v>
      </c>
      <c r="C64" s="16">
        <v>0.32</v>
      </c>
      <c r="D64" s="16">
        <v>0.45</v>
      </c>
      <c r="E64" s="16">
        <v>0.48</v>
      </c>
      <c r="F64" s="16">
        <v>0.5</v>
      </c>
      <c r="G64" s="16">
        <v>0.51</v>
      </c>
      <c r="H64" s="16">
        <v>0.52</v>
      </c>
      <c r="I64" s="16">
        <v>0.53</v>
      </c>
      <c r="J64" s="16">
        <v>0.53</v>
      </c>
      <c r="K64" s="16">
        <v>0.53</v>
      </c>
      <c r="L64" s="16">
        <v>0.53</v>
      </c>
    </row>
    <row r="65" spans="1:13" ht="15" customHeight="1" x14ac:dyDescent="0.2">
      <c r="A65" s="3" t="s">
        <v>106</v>
      </c>
      <c r="C65" s="16">
        <v>0.3</v>
      </c>
      <c r="D65" s="16">
        <v>0.4</v>
      </c>
      <c r="E65" s="16">
        <v>0.45</v>
      </c>
      <c r="F65" s="16">
        <v>0.47</v>
      </c>
      <c r="G65" s="16">
        <v>0.48</v>
      </c>
      <c r="H65" s="16">
        <v>0.49</v>
      </c>
      <c r="I65" s="16">
        <v>0.5</v>
      </c>
      <c r="J65" s="16">
        <v>0.5</v>
      </c>
      <c r="K65" s="16">
        <v>0.5</v>
      </c>
      <c r="L65" s="16">
        <v>0.5</v>
      </c>
    </row>
    <row r="66" spans="1:13" ht="15" customHeight="1" x14ac:dyDescent="0.2">
      <c r="A66" s="3" t="s">
        <v>107</v>
      </c>
      <c r="C66" s="16">
        <v>0.24</v>
      </c>
      <c r="D66" s="16">
        <v>0.31</v>
      </c>
      <c r="E66" s="16">
        <v>0.35</v>
      </c>
      <c r="F66" s="16">
        <v>0.36</v>
      </c>
      <c r="G66" s="16">
        <v>0.37</v>
      </c>
      <c r="H66" s="16">
        <v>0.38</v>
      </c>
      <c r="I66" s="16">
        <v>0.39</v>
      </c>
      <c r="J66" s="16">
        <v>0.39</v>
      </c>
      <c r="K66" s="16">
        <v>0.39</v>
      </c>
      <c r="L66" s="16">
        <v>0.39</v>
      </c>
    </row>
    <row r="67" spans="1:13" ht="15" customHeight="1" x14ac:dyDescent="0.2">
      <c r="A67" s="3" t="s">
        <v>108</v>
      </c>
      <c r="C67" s="7" t="s">
        <v>109</v>
      </c>
    </row>
    <row r="69" spans="1:13" ht="15" customHeight="1" x14ac:dyDescent="0.2">
      <c r="A69" s="4" t="s">
        <v>110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</row>
    <row r="70" spans="1:13" ht="15" customHeight="1" x14ac:dyDescent="0.2">
      <c r="A70" s="3" t="s">
        <v>111</v>
      </c>
      <c r="B70" s="16">
        <v>0.25</v>
      </c>
    </row>
    <row r="71" spans="1:13" ht="15" customHeight="1" x14ac:dyDescent="0.2">
      <c r="A71" s="3" t="s">
        <v>112</v>
      </c>
      <c r="B71" s="16">
        <v>0.25</v>
      </c>
    </row>
    <row r="72" spans="1:13" ht="15" customHeight="1" x14ac:dyDescent="0.2">
      <c r="A72" s="3" t="s">
        <v>113</v>
      </c>
      <c r="B72" s="16">
        <v>0.15</v>
      </c>
    </row>
    <row r="73" spans="1:13" ht="15" customHeight="1" x14ac:dyDescent="0.2">
      <c r="A73" s="3" t="s">
        <v>114</v>
      </c>
      <c r="B73" s="16">
        <v>0.2</v>
      </c>
    </row>
    <row r="74" spans="1:13" ht="15" customHeight="1" x14ac:dyDescent="0.2">
      <c r="A74" s="3" t="s">
        <v>115</v>
      </c>
      <c r="B74" s="15">
        <v>3000</v>
      </c>
      <c r="C74" s="7" t="s">
        <v>116</v>
      </c>
    </row>
    <row r="75" spans="1:13" ht="15" customHeight="1" x14ac:dyDescent="0.2">
      <c r="A75" s="3" t="s">
        <v>117</v>
      </c>
      <c r="B75" s="15">
        <v>2800</v>
      </c>
      <c r="C75" s="7" t="s">
        <v>116</v>
      </c>
    </row>
    <row r="76" spans="1:13" ht="15" customHeight="1" x14ac:dyDescent="0.2">
      <c r="A76" s="3" t="s">
        <v>118</v>
      </c>
      <c r="B76" s="15">
        <v>2300</v>
      </c>
      <c r="C76" s="7" t="s">
        <v>116</v>
      </c>
    </row>
    <row r="77" spans="1:13" ht="15" customHeight="1" x14ac:dyDescent="0.2">
      <c r="A77" s="3" t="s">
        <v>119</v>
      </c>
      <c r="B77" s="16">
        <v>0.8</v>
      </c>
      <c r="C77" s="7" t="s">
        <v>120</v>
      </c>
    </row>
    <row r="79" spans="1:13" ht="15" customHeight="1" x14ac:dyDescent="0.2">
      <c r="A79" s="4" t="s">
        <v>121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</row>
    <row r="80" spans="1:13" ht="15" customHeight="1" x14ac:dyDescent="0.2">
      <c r="A80" s="3" t="s">
        <v>122</v>
      </c>
      <c r="B80" s="16">
        <v>0.3</v>
      </c>
    </row>
    <row r="81" spans="1:3" ht="15" customHeight="1" x14ac:dyDescent="0.2">
      <c r="A81" s="3" t="s">
        <v>123</v>
      </c>
      <c r="B81" s="15">
        <v>1900</v>
      </c>
    </row>
    <row r="82" spans="1:3" ht="15" customHeight="1" x14ac:dyDescent="0.2">
      <c r="A82" s="3" t="s">
        <v>124</v>
      </c>
      <c r="B82" s="17">
        <v>8</v>
      </c>
    </row>
    <row r="83" spans="1:3" ht="15" customHeight="1" x14ac:dyDescent="0.2">
      <c r="A83" s="3" t="s">
        <v>125</v>
      </c>
      <c r="B83" s="17">
        <v>2</v>
      </c>
      <c r="C83" s="7" t="s">
        <v>126</v>
      </c>
    </row>
    <row r="84" spans="1:3" ht="15" customHeight="1" x14ac:dyDescent="0.2">
      <c r="A84" s="3" t="s">
        <v>127</v>
      </c>
      <c r="B84" s="15">
        <v>4000</v>
      </c>
    </row>
    <row r="85" spans="1:3" ht="15" customHeight="1" x14ac:dyDescent="0.2">
      <c r="A85" s="3" t="s">
        <v>128</v>
      </c>
      <c r="B85" s="16">
        <v>0.3</v>
      </c>
    </row>
    <row r="86" spans="1:3" ht="15" customHeight="1" x14ac:dyDescent="0.2">
      <c r="A86" s="3" t="s">
        <v>129</v>
      </c>
      <c r="B86" s="15">
        <v>1500</v>
      </c>
    </row>
    <row r="87" spans="1:3" ht="15" customHeight="1" x14ac:dyDescent="0.2">
      <c r="A87" s="3" t="s">
        <v>130</v>
      </c>
      <c r="B87" s="17">
        <v>12</v>
      </c>
    </row>
    <row r="88" spans="1:3" ht="15" customHeight="1" x14ac:dyDescent="0.2">
      <c r="A88" s="3" t="s">
        <v>131</v>
      </c>
      <c r="B88" s="17">
        <v>3</v>
      </c>
      <c r="C88" s="7" t="s">
        <v>126</v>
      </c>
    </row>
    <row r="89" spans="1:3" ht="15" customHeight="1" x14ac:dyDescent="0.2">
      <c r="A89" s="3" t="s">
        <v>132</v>
      </c>
      <c r="B89" s="15">
        <v>3000</v>
      </c>
    </row>
    <row r="90" spans="1:3" ht="15" customHeight="1" x14ac:dyDescent="0.2">
      <c r="A90" s="3" t="s">
        <v>133</v>
      </c>
      <c r="B90" s="16">
        <v>0.3</v>
      </c>
    </row>
    <row r="91" spans="1:3" ht="15" customHeight="1" x14ac:dyDescent="0.2">
      <c r="A91" s="3" t="s">
        <v>134</v>
      </c>
      <c r="B91" s="15">
        <v>800</v>
      </c>
    </row>
    <row r="92" spans="1:3" ht="15" customHeight="1" x14ac:dyDescent="0.2">
      <c r="A92" s="3" t="s">
        <v>135</v>
      </c>
      <c r="B92" s="17">
        <v>4</v>
      </c>
    </row>
    <row r="93" spans="1:3" ht="15" customHeight="1" x14ac:dyDescent="0.2">
      <c r="A93" s="3" t="s">
        <v>136</v>
      </c>
      <c r="B93" s="17">
        <v>1</v>
      </c>
      <c r="C93" s="7" t="s">
        <v>126</v>
      </c>
    </row>
    <row r="94" spans="1:3" ht="15" customHeight="1" x14ac:dyDescent="0.2">
      <c r="A94" s="3" t="s">
        <v>137</v>
      </c>
      <c r="B94" s="15">
        <v>2500</v>
      </c>
    </row>
    <row r="95" spans="1:3" ht="15" customHeight="1" x14ac:dyDescent="0.2">
      <c r="A95" s="3" t="s">
        <v>138</v>
      </c>
    </row>
    <row r="97" spans="1:13" ht="15" customHeight="1" x14ac:dyDescent="0.2">
      <c r="A97" s="4" t="s">
        <v>139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</row>
    <row r="98" spans="1:13" ht="15" customHeight="1" x14ac:dyDescent="0.2">
      <c r="A98" s="8" t="s">
        <v>71</v>
      </c>
      <c r="C98" s="22" t="s">
        <v>72</v>
      </c>
      <c r="D98" s="22" t="s">
        <v>73</v>
      </c>
      <c r="E98" s="22" t="s">
        <v>74</v>
      </c>
      <c r="F98" s="22" t="s">
        <v>75</v>
      </c>
      <c r="G98" s="22" t="s">
        <v>76</v>
      </c>
      <c r="H98" s="22" t="s">
        <v>77</v>
      </c>
      <c r="I98" s="22" t="s">
        <v>78</v>
      </c>
      <c r="J98" s="22" t="s">
        <v>79</v>
      </c>
      <c r="K98" s="22" t="s">
        <v>80</v>
      </c>
      <c r="L98" s="22" t="s">
        <v>81</v>
      </c>
    </row>
    <row r="99" spans="1:13" ht="15" customHeight="1" x14ac:dyDescent="0.2">
      <c r="A99" s="3" t="s">
        <v>140</v>
      </c>
      <c r="C99" s="17">
        <v>18</v>
      </c>
      <c r="D99" s="17">
        <v>28</v>
      </c>
      <c r="E99" s="17">
        <v>36</v>
      </c>
      <c r="F99" s="17">
        <v>36</v>
      </c>
      <c r="G99" s="17">
        <v>36</v>
      </c>
      <c r="H99" s="17">
        <v>36</v>
      </c>
      <c r="I99" s="17">
        <v>36</v>
      </c>
      <c r="J99" s="17">
        <v>36</v>
      </c>
      <c r="K99" s="17">
        <v>36</v>
      </c>
      <c r="L99" s="17">
        <v>36</v>
      </c>
      <c r="M99" s="7" t="s">
        <v>141</v>
      </c>
    </row>
    <row r="100" spans="1:13" ht="15" customHeight="1" x14ac:dyDescent="0.2">
      <c r="A100" s="3" t="s">
        <v>142</v>
      </c>
      <c r="C100" s="17">
        <v>12</v>
      </c>
      <c r="D100" s="17">
        <v>14</v>
      </c>
      <c r="E100" s="17">
        <v>16</v>
      </c>
      <c r="F100" s="17">
        <v>16</v>
      </c>
      <c r="G100" s="17">
        <v>16</v>
      </c>
      <c r="H100" s="17">
        <v>16</v>
      </c>
      <c r="I100" s="17">
        <v>16</v>
      </c>
      <c r="J100" s="17">
        <v>16</v>
      </c>
      <c r="K100" s="17">
        <v>16</v>
      </c>
      <c r="L100" s="17">
        <v>16</v>
      </c>
      <c r="M100" s="7" t="s">
        <v>143</v>
      </c>
    </row>
    <row r="101" spans="1:13" ht="15" customHeight="1" x14ac:dyDescent="0.2">
      <c r="A101" s="3" t="s">
        <v>144</v>
      </c>
      <c r="B101" s="15">
        <v>800</v>
      </c>
      <c r="C101" s="7" t="s">
        <v>145</v>
      </c>
    </row>
    <row r="102" spans="1:13" ht="15" customHeight="1" x14ac:dyDescent="0.2">
      <c r="A102" s="3" t="s">
        <v>146</v>
      </c>
      <c r="B102" s="17">
        <v>47</v>
      </c>
      <c r="C102" s="7" t="s">
        <v>147</v>
      </c>
    </row>
    <row r="103" spans="1:13" ht="15" customHeight="1" x14ac:dyDescent="0.2">
      <c r="A103" s="3" t="s">
        <v>148</v>
      </c>
      <c r="B103" s="15">
        <v>4000</v>
      </c>
    </row>
    <row r="104" spans="1:13" ht="15" customHeight="1" x14ac:dyDescent="0.2">
      <c r="A104" s="3" t="s">
        <v>149</v>
      </c>
      <c r="B104" s="15">
        <v>2000</v>
      </c>
    </row>
    <row r="105" spans="1:13" ht="15" customHeight="1" x14ac:dyDescent="0.2">
      <c r="A105" s="3" t="s">
        <v>150</v>
      </c>
      <c r="B105" s="24">
        <v>1.5</v>
      </c>
    </row>
    <row r="106" spans="1:13" ht="15" customHeight="1" x14ac:dyDescent="0.2">
      <c r="A106" s="3" t="s">
        <v>151</v>
      </c>
      <c r="B106" s="17">
        <v>2</v>
      </c>
      <c r="C106" s="7" t="s">
        <v>152</v>
      </c>
    </row>
    <row r="107" spans="1:13" ht="15" customHeight="1" x14ac:dyDescent="0.2">
      <c r="A107" s="3" t="s">
        <v>153</v>
      </c>
      <c r="B107" s="17">
        <v>6</v>
      </c>
    </row>
    <row r="108" spans="1:13" ht="15" customHeight="1" x14ac:dyDescent="0.2">
      <c r="A108" s="3" t="s">
        <v>154</v>
      </c>
    </row>
    <row r="110" spans="1:13" ht="15" customHeight="1" x14ac:dyDescent="0.2">
      <c r="A110" s="4" t="s">
        <v>155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</row>
    <row r="111" spans="1:13" ht="15" customHeight="1" x14ac:dyDescent="0.2">
      <c r="A111" s="3" t="s">
        <v>156</v>
      </c>
      <c r="B111" s="17">
        <v>7</v>
      </c>
    </row>
    <row r="112" spans="1:13" ht="15" customHeight="1" x14ac:dyDescent="0.2">
      <c r="A112" s="3" t="s">
        <v>157</v>
      </c>
      <c r="B112" s="17">
        <v>12</v>
      </c>
    </row>
    <row r="113" spans="1:13" ht="15" customHeight="1" x14ac:dyDescent="0.2">
      <c r="A113" s="3" t="s">
        <v>158</v>
      </c>
      <c r="B113" s="15">
        <v>500</v>
      </c>
    </row>
    <row r="114" spans="1:13" ht="15" customHeight="1" x14ac:dyDescent="0.2">
      <c r="A114" s="3" t="s">
        <v>159</v>
      </c>
      <c r="B114" s="15">
        <v>2000</v>
      </c>
    </row>
    <row r="115" spans="1:13" ht="15" customHeight="1" x14ac:dyDescent="0.2">
      <c r="A115" s="8" t="s">
        <v>71</v>
      </c>
      <c r="C115" s="22" t="s">
        <v>72</v>
      </c>
      <c r="D115" s="22" t="s">
        <v>73</v>
      </c>
      <c r="E115" s="22" t="s">
        <v>74</v>
      </c>
      <c r="F115" s="22" t="s">
        <v>75</v>
      </c>
      <c r="G115" s="22" t="s">
        <v>76</v>
      </c>
      <c r="H115" s="22" t="s">
        <v>77</v>
      </c>
      <c r="I115" s="22" t="s">
        <v>78</v>
      </c>
      <c r="J115" s="22" t="s">
        <v>79</v>
      </c>
      <c r="K115" s="22" t="s">
        <v>80</v>
      </c>
      <c r="L115" s="22" t="s">
        <v>81</v>
      </c>
    </row>
    <row r="116" spans="1:13" ht="15" customHeight="1" x14ac:dyDescent="0.2">
      <c r="A116" s="3" t="s">
        <v>160</v>
      </c>
      <c r="C116" s="16">
        <v>0.6</v>
      </c>
      <c r="D116" s="16">
        <v>0.75</v>
      </c>
      <c r="E116" s="16">
        <v>0.85</v>
      </c>
      <c r="F116" s="16">
        <v>0.85</v>
      </c>
      <c r="G116" s="16">
        <v>0.85</v>
      </c>
      <c r="H116" s="16">
        <v>0.85</v>
      </c>
      <c r="I116" s="16">
        <v>0.85</v>
      </c>
      <c r="J116" s="16">
        <v>0.85</v>
      </c>
      <c r="K116" s="16">
        <v>0.85</v>
      </c>
      <c r="L116" s="16">
        <v>0.85</v>
      </c>
    </row>
    <row r="118" spans="1:13" ht="15" customHeight="1" x14ac:dyDescent="0.2">
      <c r="A118" s="4" t="s">
        <v>161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1:13" ht="15" customHeight="1" x14ac:dyDescent="0.2">
      <c r="A119" s="3" t="s">
        <v>162</v>
      </c>
      <c r="B119" s="24">
        <v>3.6</v>
      </c>
    </row>
    <row r="120" spans="1:13" ht="15" customHeight="1" x14ac:dyDescent="0.2">
      <c r="A120" s="3" t="s">
        <v>163</v>
      </c>
      <c r="B120" s="24">
        <v>2.2000000000000002</v>
      </c>
    </row>
    <row r="121" spans="1:13" ht="15" customHeight="1" x14ac:dyDescent="0.2">
      <c r="A121" s="3" t="s">
        <v>164</v>
      </c>
      <c r="B121" s="24">
        <v>2.6</v>
      </c>
    </row>
    <row r="122" spans="1:13" ht="15" customHeight="1" x14ac:dyDescent="0.2">
      <c r="A122" s="3" t="s">
        <v>165</v>
      </c>
      <c r="B122" s="24">
        <v>2.4</v>
      </c>
    </row>
    <row r="123" spans="1:13" ht="15" customHeight="1" x14ac:dyDescent="0.2">
      <c r="A123" s="3" t="s">
        <v>166</v>
      </c>
      <c r="B123" s="16">
        <v>0.35</v>
      </c>
    </row>
    <row r="124" spans="1:13" ht="15" customHeight="1" x14ac:dyDescent="0.2">
      <c r="A124" s="3" t="s">
        <v>167</v>
      </c>
      <c r="B124" s="15">
        <v>320</v>
      </c>
    </row>
    <row r="125" spans="1:13" ht="15" customHeight="1" x14ac:dyDescent="0.2">
      <c r="A125" s="3" t="s">
        <v>168</v>
      </c>
      <c r="B125" s="16">
        <v>0.35</v>
      </c>
    </row>
    <row r="127" spans="1:13" ht="15" customHeight="1" x14ac:dyDescent="0.2">
      <c r="A127" s="4" t="s">
        <v>169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</row>
    <row r="128" spans="1:13" ht="15" customHeight="1" x14ac:dyDescent="0.2">
      <c r="A128" s="3" t="s">
        <v>170</v>
      </c>
      <c r="B128" s="15">
        <v>300000</v>
      </c>
      <c r="C128" s="7" t="s">
        <v>171</v>
      </c>
    </row>
    <row r="129" spans="1:13" ht="15" customHeight="1" x14ac:dyDescent="0.2">
      <c r="A129" s="3" t="s">
        <v>172</v>
      </c>
      <c r="B129" s="16">
        <v>0.3</v>
      </c>
    </row>
    <row r="130" spans="1:13" ht="15" customHeight="1" x14ac:dyDescent="0.2">
      <c r="A130" s="3" t="s">
        <v>173</v>
      </c>
      <c r="B130" s="15">
        <v>110000</v>
      </c>
    </row>
    <row r="131" spans="1:13" ht="15" customHeight="1" x14ac:dyDescent="0.2">
      <c r="A131" s="3" t="s">
        <v>174</v>
      </c>
      <c r="B131" s="16">
        <v>0.3</v>
      </c>
    </row>
    <row r="132" spans="1:13" ht="15" customHeight="1" x14ac:dyDescent="0.2">
      <c r="A132" s="3" t="s">
        <v>175</v>
      </c>
      <c r="B132" s="17">
        <v>25</v>
      </c>
    </row>
    <row r="133" spans="1:13" ht="15" customHeight="1" x14ac:dyDescent="0.2">
      <c r="A133" s="3" t="s">
        <v>176</v>
      </c>
      <c r="B133" s="15">
        <v>30000</v>
      </c>
    </row>
    <row r="134" spans="1:13" ht="15" customHeight="1" x14ac:dyDescent="0.2">
      <c r="A134" s="3" t="s">
        <v>177</v>
      </c>
      <c r="B134" s="16">
        <v>0.5</v>
      </c>
    </row>
    <row r="135" spans="1:13" ht="15" customHeight="1" x14ac:dyDescent="0.2">
      <c r="A135" s="8" t="s">
        <v>71</v>
      </c>
      <c r="C135" s="22" t="s">
        <v>72</v>
      </c>
      <c r="D135" s="22" t="s">
        <v>73</v>
      </c>
      <c r="E135" s="22" t="s">
        <v>74</v>
      </c>
      <c r="F135" s="22" t="s">
        <v>75</v>
      </c>
      <c r="G135" s="22" t="s">
        <v>76</v>
      </c>
      <c r="H135" s="22" t="s">
        <v>77</v>
      </c>
      <c r="I135" s="22" t="s">
        <v>78</v>
      </c>
      <c r="J135" s="22" t="s">
        <v>79</v>
      </c>
      <c r="K135" s="22" t="s">
        <v>80</v>
      </c>
      <c r="L135" s="22" t="s">
        <v>81</v>
      </c>
    </row>
    <row r="136" spans="1:13" ht="15" customHeight="1" x14ac:dyDescent="0.2">
      <c r="A136" s="3" t="s">
        <v>178</v>
      </c>
      <c r="C136" s="24">
        <v>1.5</v>
      </c>
      <c r="D136" s="24">
        <v>2.5</v>
      </c>
      <c r="E136" s="24">
        <v>3</v>
      </c>
      <c r="F136" s="24">
        <v>3.5</v>
      </c>
      <c r="G136" s="24">
        <v>3.5</v>
      </c>
      <c r="H136" s="24">
        <v>3.5</v>
      </c>
      <c r="I136" s="24">
        <v>3.5</v>
      </c>
      <c r="J136" s="24">
        <v>3.5</v>
      </c>
      <c r="K136" s="24">
        <v>3.5</v>
      </c>
      <c r="L136" s="24">
        <v>3.5</v>
      </c>
    </row>
    <row r="137" spans="1:13" ht="15" customHeight="1" x14ac:dyDescent="0.2">
      <c r="A137" s="3" t="s">
        <v>179</v>
      </c>
      <c r="C137" s="17">
        <v>2</v>
      </c>
      <c r="D137" s="17">
        <v>4</v>
      </c>
      <c r="E137" s="17">
        <v>5</v>
      </c>
      <c r="F137" s="17">
        <v>5</v>
      </c>
      <c r="G137" s="17">
        <v>5</v>
      </c>
      <c r="H137" s="17">
        <v>5</v>
      </c>
      <c r="I137" s="17">
        <v>5</v>
      </c>
      <c r="J137" s="17">
        <v>5</v>
      </c>
      <c r="K137" s="17">
        <v>5</v>
      </c>
      <c r="L137" s="17">
        <v>5</v>
      </c>
    </row>
    <row r="139" spans="1:13" ht="15" customHeight="1" x14ac:dyDescent="0.2">
      <c r="A139" s="4" t="s">
        <v>180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</row>
    <row r="140" spans="1:13" ht="15" customHeight="1" x14ac:dyDescent="0.2">
      <c r="A140" s="3" t="s">
        <v>181</v>
      </c>
      <c r="B140" s="15">
        <v>42000</v>
      </c>
    </row>
    <row r="141" spans="1:13" ht="15" customHeight="1" x14ac:dyDescent="0.2">
      <c r="A141" s="3" t="s">
        <v>182</v>
      </c>
      <c r="B141" s="18">
        <v>10.5</v>
      </c>
    </row>
    <row r="142" spans="1:13" ht="15" customHeight="1" x14ac:dyDescent="0.2">
      <c r="A142" s="3" t="s">
        <v>183</v>
      </c>
      <c r="B142" s="15">
        <v>50000</v>
      </c>
    </row>
    <row r="143" spans="1:13" ht="15" customHeight="1" x14ac:dyDescent="0.2">
      <c r="A143" s="3" t="s">
        <v>184</v>
      </c>
      <c r="B143" s="15">
        <v>350000</v>
      </c>
    </row>
    <row r="144" spans="1:13" ht="15" customHeight="1" x14ac:dyDescent="0.2">
      <c r="A144" s="3" t="s">
        <v>185</v>
      </c>
      <c r="B144" s="15">
        <v>100000</v>
      </c>
    </row>
    <row r="145" spans="1:13" ht="15" customHeight="1" x14ac:dyDescent="0.2">
      <c r="A145" s="3" t="s">
        <v>186</v>
      </c>
      <c r="B145" s="15">
        <v>130000</v>
      </c>
    </row>
    <row r="146" spans="1:13" ht="15" customHeight="1" x14ac:dyDescent="0.2">
      <c r="A146" s="3" t="s">
        <v>187</v>
      </c>
      <c r="B146" s="15">
        <v>170000</v>
      </c>
    </row>
    <row r="147" spans="1:13" ht="15" customHeight="1" x14ac:dyDescent="0.2">
      <c r="A147" s="3" t="s">
        <v>188</v>
      </c>
      <c r="B147" s="15">
        <v>100000</v>
      </c>
    </row>
    <row r="148" spans="1:13" ht="15" customHeight="1" x14ac:dyDescent="0.2">
      <c r="A148" s="3" t="s">
        <v>189</v>
      </c>
      <c r="B148" s="15">
        <v>75000</v>
      </c>
    </row>
    <row r="149" spans="1:13" ht="15" customHeight="1" x14ac:dyDescent="0.2">
      <c r="A149" s="3" t="s">
        <v>190</v>
      </c>
      <c r="B149" s="15">
        <v>60000</v>
      </c>
    </row>
    <row r="150" spans="1:13" ht="15" customHeight="1" x14ac:dyDescent="0.2">
      <c r="A150" s="3" t="s">
        <v>191</v>
      </c>
      <c r="B150" s="15">
        <v>130000</v>
      </c>
    </row>
    <row r="151" spans="1:13" ht="15" customHeight="1" x14ac:dyDescent="0.2">
      <c r="A151" s="3" t="s">
        <v>192</v>
      </c>
      <c r="B151" s="20">
        <v>1.4999999999999999E-2</v>
      </c>
      <c r="C151" s="7" t="s">
        <v>193</v>
      </c>
    </row>
    <row r="153" spans="1:13" ht="15" customHeight="1" x14ac:dyDescent="0.2">
      <c r="A153" s="4" t="s">
        <v>194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</row>
    <row r="154" spans="1:13" ht="15" customHeight="1" x14ac:dyDescent="0.2">
      <c r="A154" s="3" t="s">
        <v>195</v>
      </c>
      <c r="B154" s="15">
        <v>231</v>
      </c>
    </row>
    <row r="155" spans="1:13" ht="15" customHeight="1" x14ac:dyDescent="0.2">
      <c r="A155" s="3" t="s">
        <v>105</v>
      </c>
      <c r="B155" s="15">
        <v>147</v>
      </c>
    </row>
    <row r="156" spans="1:13" ht="15" customHeight="1" x14ac:dyDescent="0.2">
      <c r="A156" s="3" t="s">
        <v>196</v>
      </c>
      <c r="B156" s="15">
        <v>110</v>
      </c>
    </row>
    <row r="157" spans="1:13" ht="15" customHeight="1" x14ac:dyDescent="0.2">
      <c r="A157" s="3" t="s">
        <v>197</v>
      </c>
      <c r="B157" s="15">
        <v>50</v>
      </c>
    </row>
    <row r="158" spans="1:13" ht="15" customHeight="1" x14ac:dyDescent="0.2">
      <c r="A158" s="3" t="s">
        <v>198</v>
      </c>
      <c r="B158" s="15">
        <v>1711</v>
      </c>
      <c r="C158" s="7" t="s">
        <v>199</v>
      </c>
    </row>
    <row r="159" spans="1:13" ht="15" customHeight="1" x14ac:dyDescent="0.2">
      <c r="A159" s="8" t="s">
        <v>200</v>
      </c>
      <c r="B159" s="23">
        <f>Допущения!$B$154*Допущения!$B$6+Допущения!$B$155*Допущения!$B$7+Допущения!$B$156*Допущения!$B$8+Допущения!$B$157*Допущения!$B$9</f>
        <v>1695</v>
      </c>
      <c r="C159" s="7" t="s">
        <v>201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"/>
  <sheetViews>
    <sheetView zoomScaleNormal="100" workbookViewId="0"/>
  </sheetViews>
  <sheetFormatPr baseColWidth="10" defaultColWidth="8.6640625" defaultRowHeight="15" x14ac:dyDescent="0.2"/>
  <cols>
    <col min="1" max="1" width="52" customWidth="1"/>
    <col min="2" max="2" width="16" customWidth="1"/>
    <col min="3" max="3" width="60" customWidth="1"/>
  </cols>
  <sheetData>
    <row r="1" spans="1:13" ht="15.75" customHeight="1" x14ac:dyDescent="0.2">
      <c r="A1" s="1" t="s">
        <v>202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15" customHeight="1" x14ac:dyDescent="0.2">
      <c r="A3" s="8" t="s">
        <v>203</v>
      </c>
      <c r="B3" s="8" t="s">
        <v>204</v>
      </c>
    </row>
    <row r="4" spans="1:13" ht="15" customHeight="1" x14ac:dyDescent="0.2">
      <c r="A4" s="3" t="s">
        <v>205</v>
      </c>
      <c r="B4" s="15">
        <v>6000000</v>
      </c>
    </row>
    <row r="5" spans="1:13" ht="15" customHeight="1" x14ac:dyDescent="0.2">
      <c r="A5" s="3" t="s">
        <v>206</v>
      </c>
      <c r="B5" s="15">
        <v>16000000</v>
      </c>
    </row>
    <row r="6" spans="1:13" ht="15" customHeight="1" x14ac:dyDescent="0.2">
      <c r="A6" s="3" t="s">
        <v>207</v>
      </c>
      <c r="B6" s="15">
        <v>84000000</v>
      </c>
    </row>
    <row r="7" spans="1:13" ht="15" customHeight="1" x14ac:dyDescent="0.2">
      <c r="A7" s="3" t="s">
        <v>208</v>
      </c>
      <c r="B7" s="15">
        <v>7000000</v>
      </c>
    </row>
    <row r="8" spans="1:13" ht="15" customHeight="1" x14ac:dyDescent="0.2">
      <c r="A8" s="3" t="s">
        <v>209</v>
      </c>
      <c r="B8" s="15">
        <v>11000000</v>
      </c>
    </row>
    <row r="9" spans="1:13" ht="15" customHeight="1" x14ac:dyDescent="0.2">
      <c r="A9" s="3" t="s">
        <v>210</v>
      </c>
      <c r="B9" s="15">
        <v>27000000</v>
      </c>
    </row>
    <row r="10" spans="1:13" ht="15" customHeight="1" x14ac:dyDescent="0.2">
      <c r="A10" s="3" t="s">
        <v>211</v>
      </c>
      <c r="B10" s="15">
        <v>12500000</v>
      </c>
    </row>
    <row r="11" spans="1:13" ht="15" customHeight="1" x14ac:dyDescent="0.2">
      <c r="A11" s="3" t="s">
        <v>212</v>
      </c>
      <c r="B11" s="15">
        <v>6000000</v>
      </c>
    </row>
    <row r="12" spans="1:13" ht="15" customHeight="1" x14ac:dyDescent="0.2">
      <c r="A12" s="3" t="s">
        <v>213</v>
      </c>
      <c r="B12" s="15">
        <v>5000000</v>
      </c>
    </row>
    <row r="13" spans="1:13" ht="15" customHeight="1" x14ac:dyDescent="0.2">
      <c r="A13" s="3" t="s">
        <v>214</v>
      </c>
      <c r="B13" s="15">
        <v>4000000</v>
      </c>
    </row>
    <row r="14" spans="1:13" ht="15" customHeight="1" x14ac:dyDescent="0.2">
      <c r="A14" s="3" t="s">
        <v>215</v>
      </c>
      <c r="B14" s="15">
        <v>8000000</v>
      </c>
    </row>
    <row r="15" spans="1:13" ht="15" customHeight="1" x14ac:dyDescent="0.2">
      <c r="A15" s="3" t="s">
        <v>216</v>
      </c>
      <c r="B15" s="15">
        <v>14000000</v>
      </c>
    </row>
    <row r="16" spans="1:13" ht="15" customHeight="1" x14ac:dyDescent="0.2">
      <c r="A16" s="3" t="s">
        <v>217</v>
      </c>
      <c r="B16" s="15">
        <v>6500000</v>
      </c>
    </row>
    <row r="17" spans="1:3" ht="15" customHeight="1" x14ac:dyDescent="0.2">
      <c r="A17" s="3" t="s">
        <v>218</v>
      </c>
      <c r="B17" s="15">
        <v>4000000</v>
      </c>
    </row>
    <row r="18" spans="1:3" ht="15" customHeight="1" x14ac:dyDescent="0.2">
      <c r="A18" s="3" t="s">
        <v>219</v>
      </c>
      <c r="B18" s="25">
        <f>3000000*Допущения!$B$6</f>
        <v>15000000</v>
      </c>
      <c r="C18" s="7" t="s">
        <v>220</v>
      </c>
    </row>
    <row r="19" spans="1:3" ht="15" customHeight="1" x14ac:dyDescent="0.2">
      <c r="A19" s="3" t="s">
        <v>221</v>
      </c>
      <c r="B19" s="25">
        <f>2200000*Допущения!$B$7</f>
        <v>0</v>
      </c>
      <c r="C19" s="7" t="s">
        <v>222</v>
      </c>
    </row>
    <row r="20" spans="1:3" ht="15" customHeight="1" x14ac:dyDescent="0.2">
      <c r="A20" s="3" t="s">
        <v>223</v>
      </c>
      <c r="B20" s="25">
        <f>200000*Допущения!$B$8</f>
        <v>800000</v>
      </c>
      <c r="C20" s="7" t="s">
        <v>224</v>
      </c>
    </row>
    <row r="21" spans="1:3" ht="15" customHeight="1" x14ac:dyDescent="0.2">
      <c r="A21" s="3" t="s">
        <v>225</v>
      </c>
      <c r="B21" s="25">
        <f>320000*Допущения!$B$9</f>
        <v>640000</v>
      </c>
      <c r="C21" s="7" t="s">
        <v>226</v>
      </c>
    </row>
    <row r="22" spans="1:3" ht="15" customHeight="1" x14ac:dyDescent="0.2">
      <c r="A22" s="8" t="s">
        <v>227</v>
      </c>
      <c r="B22" s="23">
        <f>SUM(B4:B21)</f>
        <v>227440000</v>
      </c>
    </row>
    <row r="23" spans="1:3" ht="15" customHeight="1" x14ac:dyDescent="0.2">
      <c r="A23" s="3" t="s">
        <v>228</v>
      </c>
      <c r="B23" s="16">
        <v>0.08</v>
      </c>
    </row>
    <row r="24" spans="1:3" ht="15" customHeight="1" x14ac:dyDescent="0.2">
      <c r="A24" s="8" t="s">
        <v>229</v>
      </c>
      <c r="B24" s="23">
        <f>B22*(1+B23)</f>
        <v>245635200.00000003</v>
      </c>
      <c r="C24" s="7" t="s">
        <v>230</v>
      </c>
    </row>
    <row r="25" spans="1:3" ht="15" customHeight="1" x14ac:dyDescent="0.2">
      <c r="A25" s="3" t="s">
        <v>231</v>
      </c>
      <c r="B25" s="15">
        <v>6000000</v>
      </c>
    </row>
    <row r="26" spans="1:3" ht="15" customHeight="1" x14ac:dyDescent="0.2">
      <c r="A26" s="26" t="s">
        <v>232</v>
      </c>
      <c r="B26" s="27">
        <f>B24+B25</f>
        <v>251635200.00000003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zoomScaleNormal="100" workbookViewId="0"/>
  </sheetViews>
  <sheetFormatPr baseColWidth="10" defaultColWidth="8.6640625" defaultRowHeight="15" x14ac:dyDescent="0.2"/>
  <cols>
    <col min="1" max="1" width="40" customWidth="1"/>
    <col min="2" max="2" width="14" customWidth="1"/>
    <col min="3" max="3" width="9" customWidth="1"/>
    <col min="4" max="5" width="14" customWidth="1"/>
    <col min="6" max="13" width="12" customWidth="1"/>
  </cols>
  <sheetData>
    <row r="1" spans="1:13" ht="15.75" customHeight="1" x14ac:dyDescent="0.2">
      <c r="A1" s="1" t="s">
        <v>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15" customHeight="1" x14ac:dyDescent="0.2">
      <c r="A3" s="8" t="s">
        <v>234</v>
      </c>
      <c r="B3" s="8" t="s">
        <v>235</v>
      </c>
      <c r="C3" s="8" t="s">
        <v>236</v>
      </c>
      <c r="D3" s="8" t="s">
        <v>237</v>
      </c>
      <c r="E3" s="8" t="s">
        <v>238</v>
      </c>
    </row>
    <row r="4" spans="1:13" ht="15" customHeight="1" x14ac:dyDescent="0.2">
      <c r="A4" s="3" t="s">
        <v>239</v>
      </c>
      <c r="B4" s="15">
        <v>220000</v>
      </c>
      <c r="C4" s="28">
        <v>1</v>
      </c>
      <c r="D4" s="10">
        <f t="shared" ref="D4:D11" si="0">B4*C4</f>
        <v>220000</v>
      </c>
      <c r="E4" s="3" t="s">
        <v>240</v>
      </c>
    </row>
    <row r="5" spans="1:13" ht="15" customHeight="1" x14ac:dyDescent="0.2">
      <c r="A5" s="3" t="s">
        <v>241</v>
      </c>
      <c r="B5" s="15">
        <v>75000</v>
      </c>
      <c r="C5" s="28">
        <v>3</v>
      </c>
      <c r="D5" s="10">
        <f t="shared" si="0"/>
        <v>225000</v>
      </c>
      <c r="E5" s="3" t="s">
        <v>240</v>
      </c>
    </row>
    <row r="6" spans="1:13" ht="15" customHeight="1" x14ac:dyDescent="0.2">
      <c r="A6" s="3" t="s">
        <v>242</v>
      </c>
      <c r="B6" s="15">
        <v>130000</v>
      </c>
      <c r="C6" s="28">
        <v>3</v>
      </c>
      <c r="D6" s="10">
        <f t="shared" si="0"/>
        <v>390000</v>
      </c>
      <c r="E6" s="3" t="s">
        <v>240</v>
      </c>
    </row>
    <row r="7" spans="1:13" ht="15" customHeight="1" x14ac:dyDescent="0.2">
      <c r="A7" s="3" t="s">
        <v>243</v>
      </c>
      <c r="B7" s="15">
        <v>90000</v>
      </c>
      <c r="C7" s="28">
        <v>1</v>
      </c>
      <c r="D7" s="10">
        <f t="shared" si="0"/>
        <v>90000</v>
      </c>
      <c r="E7" s="3" t="s">
        <v>240</v>
      </c>
    </row>
    <row r="8" spans="1:13" ht="15" customHeight="1" x14ac:dyDescent="0.2">
      <c r="A8" s="3" t="s">
        <v>244</v>
      </c>
      <c r="B8" s="15">
        <v>65000</v>
      </c>
      <c r="C8" s="28">
        <v>2</v>
      </c>
      <c r="D8" s="10">
        <f t="shared" si="0"/>
        <v>130000</v>
      </c>
      <c r="E8" s="3" t="s">
        <v>240</v>
      </c>
    </row>
    <row r="9" spans="1:13" ht="15" customHeight="1" x14ac:dyDescent="0.2">
      <c r="A9" s="3" t="s">
        <v>245</v>
      </c>
      <c r="B9" s="15">
        <v>60000</v>
      </c>
      <c r="C9" s="28">
        <v>1</v>
      </c>
      <c r="D9" s="10">
        <f t="shared" si="0"/>
        <v>60000</v>
      </c>
      <c r="E9" s="3" t="s">
        <v>240</v>
      </c>
    </row>
    <row r="10" spans="1:13" ht="15" customHeight="1" x14ac:dyDescent="0.2">
      <c r="A10" s="3" t="s">
        <v>246</v>
      </c>
      <c r="B10" s="15">
        <v>100000</v>
      </c>
      <c r="C10" s="28">
        <v>1</v>
      </c>
      <c r="D10" s="10">
        <f t="shared" si="0"/>
        <v>100000</v>
      </c>
      <c r="E10" s="3" t="s">
        <v>247</v>
      </c>
    </row>
    <row r="11" spans="1:13" ht="15" customHeight="1" x14ac:dyDescent="0.2">
      <c r="A11" s="3" t="s">
        <v>248</v>
      </c>
      <c r="B11" s="15">
        <v>85000</v>
      </c>
      <c r="C11" s="28">
        <v>1</v>
      </c>
      <c r="D11" s="10">
        <f t="shared" si="0"/>
        <v>85000</v>
      </c>
      <c r="E11" s="3" t="s">
        <v>240</v>
      </c>
    </row>
    <row r="12" spans="1:13" ht="15" customHeight="1" x14ac:dyDescent="0.2">
      <c r="A12" s="8" t="s">
        <v>249</v>
      </c>
      <c r="B12" s="23">
        <f>SUMIF(E4:E11,"да",D4:D11)</f>
        <v>1200000</v>
      </c>
      <c r="C12" s="7" t="s">
        <v>250</v>
      </c>
    </row>
    <row r="13" spans="1:13" ht="15" customHeight="1" x14ac:dyDescent="0.2">
      <c r="A13" s="8" t="s">
        <v>251</v>
      </c>
      <c r="B13" s="23">
        <f>SUMIF(E4:E11,"нет (аутсорс)",D4:D11)</f>
        <v>100000</v>
      </c>
    </row>
    <row r="15" spans="1:13" ht="15" customHeight="1" x14ac:dyDescent="0.2">
      <c r="A15" s="8" t="s">
        <v>71</v>
      </c>
      <c r="C15" s="22" t="s">
        <v>72</v>
      </c>
      <c r="D15" s="22" t="s">
        <v>73</v>
      </c>
      <c r="E15" s="22" t="s">
        <v>74</v>
      </c>
      <c r="F15" s="22" t="s">
        <v>75</v>
      </c>
      <c r="G15" s="22" t="s">
        <v>76</v>
      </c>
      <c r="H15" s="22" t="s">
        <v>77</v>
      </c>
      <c r="I15" s="22" t="s">
        <v>78</v>
      </c>
      <c r="J15" s="22" t="s">
        <v>79</v>
      </c>
      <c r="K15" s="22" t="s">
        <v>80</v>
      </c>
      <c r="L15" s="22" t="s">
        <v>81</v>
      </c>
    </row>
    <row r="16" spans="1:13" ht="15" customHeight="1" x14ac:dyDescent="0.2">
      <c r="A16" s="8" t="s">
        <v>252</v>
      </c>
      <c r="C16" s="23">
        <f>(Персонал!$B$12+Персонал!$B$13)*12*Допущения!C40</f>
        <v>15600000</v>
      </c>
      <c r="D16" s="23">
        <f>(Персонал!$B$12+Персонал!$B$13)*12*Допущения!D40</f>
        <v>16536000</v>
      </c>
      <c r="E16" s="23">
        <f>(Персонал!$B$12+Персонал!$B$13)*12*Допущения!E40</f>
        <v>17528160.000000004</v>
      </c>
      <c r="F16" s="23">
        <f>(Персонал!$B$12+Персонал!$B$13)*12*Допущения!F40</f>
        <v>18579849.600000005</v>
      </c>
      <c r="G16" s="23">
        <f>(Персонал!$B$12+Персонал!$B$13)*12*Допущения!G40</f>
        <v>19694640.576000005</v>
      </c>
      <c r="H16" s="23">
        <f>(Персонал!$B$12+Персонал!$B$13)*12*Допущения!H40</f>
        <v>20876319.010560006</v>
      </c>
      <c r="I16" s="23">
        <f>(Персонал!$B$12+Персонал!$B$13)*12*Допущения!I40</f>
        <v>22128898.151193608</v>
      </c>
      <c r="J16" s="23">
        <f>(Персонал!$B$12+Персонал!$B$13)*12*Допущения!J40</f>
        <v>23456632.040265229</v>
      </c>
      <c r="K16" s="23">
        <f>(Персонал!$B$12+Персонал!$B$13)*12*Допущения!K40</f>
        <v>24864029.962681141</v>
      </c>
      <c r="L16" s="23">
        <f>(Персонал!$B$12+Персонал!$B$13)*12*Допущения!L40</f>
        <v>26355871.760442007</v>
      </c>
    </row>
    <row r="17" spans="1:12" ht="15" customHeight="1" x14ac:dyDescent="0.2">
      <c r="A17" s="8" t="s">
        <v>253</v>
      </c>
      <c r="C17" s="23">
        <f>Персонал!$B$12*12*Допущения!C40*Допущения!$B$30</f>
        <v>3312000</v>
      </c>
      <c r="D17" s="23">
        <f>Персонал!$B$12*12*Допущения!D40*Допущения!$B$30</f>
        <v>3510720</v>
      </c>
      <c r="E17" s="23">
        <f>Персонал!$B$12*12*Допущения!E40*Допущения!$B$30</f>
        <v>3721363.2000000007</v>
      </c>
      <c r="F17" s="23">
        <f>Персонал!$B$12*12*Допущения!F40*Допущения!$B$30</f>
        <v>3944644.9920000015</v>
      </c>
      <c r="G17" s="23">
        <f>Персонал!$B$12*12*Допущения!G40*Допущения!$B$30</f>
        <v>4181323.6915200008</v>
      </c>
      <c r="H17" s="23">
        <f>Персонал!$B$12*12*Допущения!H40*Допущения!$B$30</f>
        <v>4432203.1130112018</v>
      </c>
      <c r="I17" s="23">
        <f>Персонал!$B$12*12*Допущения!I40*Допущения!$B$30</f>
        <v>4698135.2997918744</v>
      </c>
      <c r="J17" s="23">
        <f>Персонал!$B$12*12*Допущения!J40*Допущения!$B$30</f>
        <v>4980023.417779387</v>
      </c>
      <c r="K17" s="23">
        <f>Персонал!$B$12*12*Допущения!K40*Допущения!$B$30</f>
        <v>5278824.82284615</v>
      </c>
      <c r="L17" s="23">
        <f>Персонал!$B$12*12*Допущения!L40*Допущения!$B$30</f>
        <v>5595554.3122169198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4"/>
  <sheetViews>
    <sheetView zoomScaleNormal="100" workbookViewId="0">
      <pane xSplit="2" ySplit="3" topLeftCell="C51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46" customWidth="1"/>
    <col min="2" max="2" width="12" customWidth="1"/>
    <col min="3" max="12" width="12.5" customWidth="1"/>
  </cols>
  <sheetData>
    <row r="1" spans="1:13" ht="15.75" customHeight="1" x14ac:dyDescent="0.2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15" customHeight="1" x14ac:dyDescent="0.2">
      <c r="A3" s="8" t="s">
        <v>71</v>
      </c>
      <c r="C3" s="22" t="s">
        <v>72</v>
      </c>
      <c r="D3" s="22" t="s">
        <v>73</v>
      </c>
      <c r="E3" s="22" t="s">
        <v>74</v>
      </c>
      <c r="F3" s="22" t="s">
        <v>75</v>
      </c>
      <c r="G3" s="22" t="s">
        <v>76</v>
      </c>
      <c r="H3" s="22" t="s">
        <v>77</v>
      </c>
      <c r="I3" s="22" t="s">
        <v>78</v>
      </c>
      <c r="J3" s="22" t="s">
        <v>79</v>
      </c>
      <c r="K3" s="22" t="s">
        <v>80</v>
      </c>
      <c r="L3" s="22" t="s">
        <v>81</v>
      </c>
    </row>
    <row r="4" spans="1:13" ht="15" customHeight="1" x14ac:dyDescent="0.2">
      <c r="A4" s="4" t="s">
        <v>255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5" customHeight="1" x14ac:dyDescent="0.2">
      <c r="A5" s="3" t="s">
        <v>256</v>
      </c>
      <c r="C5" s="25">
        <f>Допущения!C99*Допущения!$B$106*Допущения!$B$105*Допущения!$B$102</f>
        <v>2538</v>
      </c>
      <c r="D5" s="25">
        <f>Допущения!D99*Допущения!$B$106*Допущения!$B$105*Допущения!$B$102</f>
        <v>3948</v>
      </c>
      <c r="E5" s="25">
        <f>Допущения!E99*Допущения!$B$106*Допущения!$B$105*Допущения!$B$102</f>
        <v>5076</v>
      </c>
      <c r="F5" s="25">
        <f>Допущения!F99*Допущения!$B$106*Допущения!$B$105*Допущения!$B$102</f>
        <v>5076</v>
      </c>
      <c r="G5" s="25">
        <f>Допущения!G99*Допущения!$B$106*Допущения!$B$105*Допущения!$B$102</f>
        <v>5076</v>
      </c>
      <c r="H5" s="25">
        <f>Допущения!H99*Допущения!$B$106*Допущения!$B$105*Допущения!$B$102</f>
        <v>5076</v>
      </c>
      <c r="I5" s="25">
        <f>Допущения!I99*Допущения!$B$106*Допущения!$B$105*Допущения!$B$102</f>
        <v>5076</v>
      </c>
      <c r="J5" s="25">
        <f>Допущения!J99*Допущения!$B$106*Допущения!$B$105*Допущения!$B$102</f>
        <v>5076</v>
      </c>
      <c r="K5" s="25">
        <f>Допущения!K99*Допущения!$B$106*Допущения!$B$105*Допущения!$B$102</f>
        <v>5076</v>
      </c>
      <c r="L5" s="25">
        <f>Допущения!L99*Допущения!$B$106*Допущения!$B$105*Допущения!$B$102</f>
        <v>5076</v>
      </c>
      <c r="M5" s="7" t="s">
        <v>257</v>
      </c>
    </row>
    <row r="6" spans="1:13" ht="15" customHeight="1" x14ac:dyDescent="0.2">
      <c r="A6" s="3" t="s">
        <v>258</v>
      </c>
      <c r="C6" s="25">
        <f>C5*Допущения!$B$6/(Допущения!$B$6+Допущения!$B$8+Допущения!$B$9)</f>
        <v>1153.6363636363637</v>
      </c>
      <c r="D6" s="25">
        <f>D5*Допущения!$B$6/(Допущения!$B$6+Допущения!$B$8+Допущения!$B$9)</f>
        <v>1794.5454545454545</v>
      </c>
      <c r="E6" s="25">
        <f>E5*Допущения!$B$6/(Допущения!$B$6+Допущения!$B$8+Допущения!$B$9)</f>
        <v>2307.2727272727275</v>
      </c>
      <c r="F6" s="25">
        <f>F5*Допущения!$B$6/(Допущения!$B$6+Допущения!$B$8+Допущения!$B$9)</f>
        <v>2307.2727272727275</v>
      </c>
      <c r="G6" s="25">
        <f>G5*Допущения!$B$6/(Допущения!$B$6+Допущения!$B$8+Допущения!$B$9)</f>
        <v>2307.2727272727275</v>
      </c>
      <c r="H6" s="25">
        <f>H5*Допущения!$B$6/(Допущения!$B$6+Допущения!$B$8+Допущения!$B$9)</f>
        <v>2307.2727272727275</v>
      </c>
      <c r="I6" s="25">
        <f>I5*Допущения!$B$6/(Допущения!$B$6+Допущения!$B$8+Допущения!$B$9)</f>
        <v>2307.2727272727275</v>
      </c>
      <c r="J6" s="25">
        <f>J5*Допущения!$B$6/(Допущения!$B$6+Допущения!$B$8+Допущения!$B$9)</f>
        <v>2307.2727272727275</v>
      </c>
      <c r="K6" s="25">
        <f>K5*Допущения!$B$6/(Допущения!$B$6+Допущения!$B$8+Допущения!$B$9)</f>
        <v>2307.2727272727275</v>
      </c>
      <c r="L6" s="25">
        <f>L5*Допущения!$B$6/(Допущения!$B$6+Допущения!$B$8+Допущения!$B$9)</f>
        <v>2307.2727272727275</v>
      </c>
    </row>
    <row r="7" spans="1:13" ht="15" customHeight="1" x14ac:dyDescent="0.2">
      <c r="A7" s="3" t="s">
        <v>259</v>
      </c>
      <c r="C7" s="25">
        <f>C5*Допущения!$B$8/(Допущения!$B$6+Допущения!$B$8+Допущения!$B$9)</f>
        <v>922.90909090909088</v>
      </c>
      <c r="D7" s="25">
        <f>D5*Допущения!$B$8/(Допущения!$B$6+Допущения!$B$8+Допущения!$B$9)</f>
        <v>1435.6363636363637</v>
      </c>
      <c r="E7" s="25">
        <f>E5*Допущения!$B$8/(Допущения!$B$6+Допущения!$B$8+Допущения!$B$9)</f>
        <v>1845.8181818181818</v>
      </c>
      <c r="F7" s="25">
        <f>F5*Допущения!$B$8/(Допущения!$B$6+Допущения!$B$8+Допущения!$B$9)</f>
        <v>1845.8181818181818</v>
      </c>
      <c r="G7" s="25">
        <f>G5*Допущения!$B$8/(Допущения!$B$6+Допущения!$B$8+Допущения!$B$9)</f>
        <v>1845.8181818181818</v>
      </c>
      <c r="H7" s="25">
        <f>H5*Допущения!$B$8/(Допущения!$B$6+Допущения!$B$8+Допущения!$B$9)</f>
        <v>1845.8181818181818</v>
      </c>
      <c r="I7" s="25">
        <f>I5*Допущения!$B$8/(Допущения!$B$6+Допущения!$B$8+Допущения!$B$9)</f>
        <v>1845.8181818181818</v>
      </c>
      <c r="J7" s="25">
        <f>J5*Допущения!$B$8/(Допущения!$B$6+Допущения!$B$8+Допущения!$B$9)</f>
        <v>1845.8181818181818</v>
      </c>
      <c r="K7" s="25">
        <f>K5*Допущения!$B$8/(Допущения!$B$6+Допущения!$B$8+Допущения!$B$9)</f>
        <v>1845.8181818181818</v>
      </c>
      <c r="L7" s="25">
        <f>L5*Допущения!$B$8/(Допущения!$B$6+Допущения!$B$8+Допущения!$B$9)</f>
        <v>1845.8181818181818</v>
      </c>
    </row>
    <row r="8" spans="1:13" ht="15" customHeight="1" x14ac:dyDescent="0.2">
      <c r="A8" s="3" t="s">
        <v>260</v>
      </c>
      <c r="C8" s="25">
        <f>C5*Допущения!$B$9/(Допущения!$B$6+Допущения!$B$8+Допущения!$B$9)</f>
        <v>461.45454545454544</v>
      </c>
      <c r="D8" s="25">
        <f>D5*Допущения!$B$9/(Допущения!$B$6+Допущения!$B$8+Допущения!$B$9)</f>
        <v>717.81818181818187</v>
      </c>
      <c r="E8" s="25">
        <f>E5*Допущения!$B$9/(Допущения!$B$6+Допущения!$B$8+Допущения!$B$9)</f>
        <v>922.90909090909088</v>
      </c>
      <c r="F8" s="25">
        <f>F5*Допущения!$B$9/(Допущения!$B$6+Допущения!$B$8+Допущения!$B$9)</f>
        <v>922.90909090909088</v>
      </c>
      <c r="G8" s="25">
        <f>G5*Допущения!$B$9/(Допущения!$B$6+Допущения!$B$8+Допущения!$B$9)</f>
        <v>922.90909090909088</v>
      </c>
      <c r="H8" s="25">
        <f>H5*Допущения!$B$9/(Допущения!$B$6+Допущения!$B$8+Допущения!$B$9)</f>
        <v>922.90909090909088</v>
      </c>
      <c r="I8" s="25">
        <f>I5*Допущения!$B$9/(Допущения!$B$6+Допущения!$B$8+Допущения!$B$9)</f>
        <v>922.90909090909088</v>
      </c>
      <c r="J8" s="25">
        <f>J5*Допущения!$B$9/(Допущения!$B$6+Допущения!$B$8+Допущения!$B$9)</f>
        <v>922.90909090909088</v>
      </c>
      <c r="K8" s="25">
        <f>K5*Допущения!$B$9/(Допущения!$B$6+Допущения!$B$8+Допущения!$B$9)</f>
        <v>922.90909090909088</v>
      </c>
      <c r="L8" s="25">
        <f>L5*Допущения!$B$9/(Допущения!$B$6+Допущения!$B$8+Допущения!$B$9)</f>
        <v>922.90909090909088</v>
      </c>
    </row>
    <row r="9" spans="1:13" ht="15" customHeight="1" x14ac:dyDescent="0.2">
      <c r="A9" s="4" t="s">
        <v>104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ht="15" customHeight="1" x14ac:dyDescent="0.2">
      <c r="A10" s="3" t="s">
        <v>261</v>
      </c>
      <c r="C10" s="25">
        <f>Допущения!$B$6*Допущения!$B$10*Допущения!$B$11-C6</f>
        <v>27646.363636363636</v>
      </c>
      <c r="D10" s="25">
        <f>Допущения!$B$6*Допущения!$B$10*Допущения!$B$11-D6</f>
        <v>27005.454545454544</v>
      </c>
      <c r="E10" s="25">
        <f>Допущения!$B$6*Допущения!$B$10*Допущения!$B$11-E6</f>
        <v>26492.727272727272</v>
      </c>
      <c r="F10" s="25">
        <f>Допущения!$B$6*Допущения!$B$10*Допущения!$B$11-F6</f>
        <v>26492.727272727272</v>
      </c>
      <c r="G10" s="25">
        <f>Допущения!$B$6*Допущения!$B$10*Допущения!$B$11-G6</f>
        <v>26492.727272727272</v>
      </c>
      <c r="H10" s="25">
        <f>Допущения!$B$6*Допущения!$B$10*Допущения!$B$11-H6</f>
        <v>26492.727272727272</v>
      </c>
      <c r="I10" s="25">
        <f>Допущения!$B$6*Допущения!$B$10*Допущения!$B$11-I6</f>
        <v>26492.727272727272</v>
      </c>
      <c r="J10" s="25">
        <f>Допущения!$B$6*Допущения!$B$10*Допущения!$B$11-J6</f>
        <v>26492.727272727272</v>
      </c>
      <c r="K10" s="25">
        <f>Допущения!$B$6*Допущения!$B$10*Допущения!$B$11-K6</f>
        <v>26492.727272727272</v>
      </c>
      <c r="L10" s="25">
        <f>Допущения!$B$6*Допущения!$B$10*Допущения!$B$11-L6</f>
        <v>26492.727272727272</v>
      </c>
    </row>
    <row r="11" spans="1:13" ht="15" customHeight="1" x14ac:dyDescent="0.2">
      <c r="A11" s="3" t="s">
        <v>262</v>
      </c>
      <c r="C11" s="29">
        <f>MIN(Допущения!C63*Допущения!$B$20,Допущения!$B$12)</f>
        <v>0.38</v>
      </c>
      <c r="D11" s="29">
        <f>MIN(Допущения!D63*Допущения!$B$20,Допущения!$B$12)</f>
        <v>0.52</v>
      </c>
      <c r="E11" s="29">
        <f>MIN(Допущения!E63*Допущения!$B$20,Допущения!$B$12)</f>
        <v>0.55000000000000004</v>
      </c>
      <c r="F11" s="29">
        <f>MIN(Допущения!F63*Допущения!$B$20,Допущения!$B$12)</f>
        <v>0.56999999999999995</v>
      </c>
      <c r="G11" s="29">
        <f>MIN(Допущения!G63*Допущения!$B$20,Допущения!$B$12)</f>
        <v>0.57999999999999996</v>
      </c>
      <c r="H11" s="29">
        <f>MIN(Допущения!H63*Допущения!$B$20,Допущения!$B$12)</f>
        <v>0.59</v>
      </c>
      <c r="I11" s="29">
        <f>MIN(Допущения!I63*Допущения!$B$20,Допущения!$B$12)</f>
        <v>0.6</v>
      </c>
      <c r="J11" s="29">
        <f>MIN(Допущения!J63*Допущения!$B$20,Допущения!$B$12)</f>
        <v>0.6</v>
      </c>
      <c r="K11" s="29">
        <f>MIN(Допущения!K63*Допущения!$B$20,Допущения!$B$12)</f>
        <v>0.6</v>
      </c>
      <c r="L11" s="29">
        <f>MIN(Допущения!L63*Допущения!$B$20,Допущения!$B$12)</f>
        <v>0.6</v>
      </c>
    </row>
    <row r="12" spans="1:13" ht="15" customHeight="1" x14ac:dyDescent="0.2">
      <c r="A12" s="8" t="s">
        <v>263</v>
      </c>
      <c r="C12" s="23">
        <f t="shared" ref="C12:L12" si="0">C10*C11</f>
        <v>10505.618181818181</v>
      </c>
      <c r="D12" s="23">
        <f t="shared" si="0"/>
        <v>14042.836363636363</v>
      </c>
      <c r="E12" s="23">
        <f t="shared" si="0"/>
        <v>14571</v>
      </c>
      <c r="F12" s="23">
        <f t="shared" si="0"/>
        <v>15100.854545454544</v>
      </c>
      <c r="G12" s="23">
        <f t="shared" si="0"/>
        <v>15365.781818181817</v>
      </c>
      <c r="H12" s="23">
        <f t="shared" si="0"/>
        <v>15630.709090909089</v>
      </c>
      <c r="I12" s="23">
        <f t="shared" si="0"/>
        <v>15895.636363636362</v>
      </c>
      <c r="J12" s="23">
        <f t="shared" si="0"/>
        <v>15895.636363636362</v>
      </c>
      <c r="K12" s="23">
        <f t="shared" si="0"/>
        <v>15895.636363636362</v>
      </c>
      <c r="L12" s="23">
        <f t="shared" si="0"/>
        <v>15895.636363636362</v>
      </c>
    </row>
    <row r="13" spans="1:13" ht="15" customHeight="1" x14ac:dyDescent="0.2">
      <c r="A13" s="3" t="s">
        <v>264</v>
      </c>
      <c r="C13" s="30">
        <f>IF(Допущения!$B$6&gt;=Допущения!$B$83,Допущения!$B$80,0)</f>
        <v>0.3</v>
      </c>
      <c r="D13" s="30">
        <f>IF(Допущения!$B$6&gt;=Допущения!$B$83,Допущения!$B$80,0)</f>
        <v>0.3</v>
      </c>
      <c r="E13" s="30">
        <f>IF(Допущения!$B$6&gt;=Допущения!$B$83,Допущения!$B$80,0)</f>
        <v>0.3</v>
      </c>
      <c r="F13" s="30">
        <f>IF(Допущения!$B$6&gt;=Допущения!$B$83,Допущения!$B$80,0)</f>
        <v>0.3</v>
      </c>
      <c r="G13" s="30">
        <f>IF(Допущения!$B$6&gt;=Допущения!$B$83,Допущения!$B$80,0)</f>
        <v>0.3</v>
      </c>
      <c r="H13" s="30">
        <f>IF(Допущения!$B$6&gt;=Допущения!$B$83,Допущения!$B$80,0)</f>
        <v>0.3</v>
      </c>
      <c r="I13" s="30">
        <f>IF(Допущения!$B$6&gt;=Допущения!$B$83,Допущения!$B$80,0)</f>
        <v>0.3</v>
      </c>
      <c r="J13" s="30">
        <f>IF(Допущения!$B$6&gt;=Допущения!$B$83,Допущения!$B$80,0)</f>
        <v>0.3</v>
      </c>
      <c r="K13" s="30">
        <f>IF(Допущения!$B$6&gt;=Допущения!$B$83,Допущения!$B$80,0)</f>
        <v>0.3</v>
      </c>
      <c r="L13" s="30">
        <f>IF(Допущения!$B$6&gt;=Допущения!$B$83,Допущения!$B$80,0)</f>
        <v>0.3</v>
      </c>
    </row>
    <row r="14" spans="1:13" ht="15" customHeight="1" x14ac:dyDescent="0.2">
      <c r="A14" s="3" t="s">
        <v>265</v>
      </c>
      <c r="C14" s="25">
        <f>C12*(1-C13)*Допущения!$B$47*Допущения!C39</f>
        <v>27283090.418181814</v>
      </c>
      <c r="D14" s="25">
        <f>D12*(1-D13)*Допущения!$B$47*Допущения!D39</f>
        <v>38292708.338181816</v>
      </c>
      <c r="E14" s="25">
        <f>E12*(1-E13)*Допущения!$B$47*Допущения!E39</f>
        <v>41719577.917499997</v>
      </c>
      <c r="F14" s="25">
        <f>F12*(1-F13)*Допущения!$B$47*Допущения!F39</f>
        <v>45398486.152043179</v>
      </c>
      <c r="G14" s="25">
        <f>G12*(1-G13)*Допущения!$B$47*Допущения!G39</f>
        <v>48504698.362446129</v>
      </c>
      <c r="H14" s="25">
        <f>H12*(1-H13)*Допущения!$B$47*Допущения!H39</f>
        <v>51808035.578509279</v>
      </c>
      <c r="I14" s="25">
        <f>I12*(1-I13)*Допущения!$B$47*Допущения!I39</f>
        <v>55320444.770272613</v>
      </c>
      <c r="J14" s="25">
        <f>J12*(1-J13)*Допущения!$B$47*Допущения!J39</f>
        <v>58086467.008786254</v>
      </c>
      <c r="K14" s="25">
        <f>K12*(1-K13)*Допущения!$B$47*Допущения!K39</f>
        <v>60990790.359225564</v>
      </c>
      <c r="L14" s="25">
        <f>L12*(1-L13)*Допущения!$B$47*Допущения!L39</f>
        <v>64040329.877186842</v>
      </c>
    </row>
    <row r="15" spans="1:13" ht="15" customHeight="1" x14ac:dyDescent="0.2">
      <c r="A15" s="3" t="s">
        <v>266</v>
      </c>
      <c r="C15" s="25">
        <f>C12*Допущения!$B$70*Допущения!$B$74*Допущения!C39</f>
        <v>7879213.6363636358</v>
      </c>
      <c r="D15" s="25">
        <f>D12*Допущения!$B$70*Допущения!$B$74*Допущения!D39</f>
        <v>11058733.636363635</v>
      </c>
      <c r="E15" s="25">
        <f>E12*Допущения!$B$70*Допущения!$B$74*Допущения!E39</f>
        <v>12048395.625</v>
      </c>
      <c r="F15" s="25">
        <f>F12*Допущения!$B$70*Допущения!$B$74*Допущения!F39</f>
        <v>13110845.057386365</v>
      </c>
      <c r="G15" s="25">
        <f>G12*Допущения!$B$70*Допущения!$B$74*Допущения!G39</f>
        <v>14007902.877102273</v>
      </c>
      <c r="H15" s="25">
        <f>H12*Допущения!$B$70*Допущения!$B$74*Допущения!H39</f>
        <v>14961889.366146306</v>
      </c>
      <c r="I15" s="25">
        <f>I12*Допущения!$B$70*Допущения!$B$74*Допущения!I39</f>
        <v>15976254.746901987</v>
      </c>
      <c r="J15" s="25">
        <f>J12*Допущения!$B$70*Допущения!$B$74*Допущения!J39</f>
        <v>16775067.484247088</v>
      </c>
      <c r="K15" s="25">
        <f>K12*Допущения!$B$70*Допущения!$B$74*Допущения!K39</f>
        <v>17613820.858459443</v>
      </c>
      <c r="L15" s="25">
        <f>L12*Допущения!$B$70*Допущения!$B$74*Допущения!L39</f>
        <v>18494511.901382413</v>
      </c>
    </row>
    <row r="16" spans="1:13" ht="15" customHeight="1" x14ac:dyDescent="0.2">
      <c r="A16" s="3" t="s">
        <v>267</v>
      </c>
      <c r="C16" s="25">
        <f>-C15*Допущения!$B$77</f>
        <v>-6303370.9090909092</v>
      </c>
      <c r="D16" s="25">
        <f>-D15*Допущения!$B$77</f>
        <v>-8846986.9090909082</v>
      </c>
      <c r="E16" s="25">
        <f>-E15*Допущения!$B$77</f>
        <v>-9638716.5</v>
      </c>
      <c r="F16" s="25">
        <f>-F15*Допущения!$B$77</f>
        <v>-10488676.045909092</v>
      </c>
      <c r="G16" s="25">
        <f>-G15*Допущения!$B$77</f>
        <v>-11206322.301681818</v>
      </c>
      <c r="H16" s="25">
        <f>-H15*Допущения!$B$77</f>
        <v>-11969511.492917046</v>
      </c>
      <c r="I16" s="25">
        <f>-I15*Допущения!$B$77</f>
        <v>-12781003.797521591</v>
      </c>
      <c r="J16" s="25">
        <f>-J15*Допущения!$B$77</f>
        <v>-13420053.987397671</v>
      </c>
      <c r="K16" s="25">
        <f>-K15*Допущения!$B$77</f>
        <v>-14091056.686767556</v>
      </c>
      <c r="L16" s="25">
        <f>-L15*Допущения!$B$77</f>
        <v>-14795609.52110593</v>
      </c>
    </row>
    <row r="17" spans="1:13" ht="15" customHeight="1" x14ac:dyDescent="0.2">
      <c r="A17" s="3" t="s">
        <v>268</v>
      </c>
      <c r="C17" s="25">
        <f>C12*C13*Допущения!$B$82*Допущения!$B$81/Допущения!$B$83*Допущения!C39</f>
        <v>23952809.454545453</v>
      </c>
      <c r="D17" s="25">
        <f>D12*D13*Допущения!$B$82*Допущения!$B$81/Допущения!$B$83*Допущения!D39</f>
        <v>33618550.25454545</v>
      </c>
      <c r="E17" s="25">
        <f>E12*E13*Допущения!$B$82*Допущения!$B$81/Допущения!$B$83*Допущения!E39</f>
        <v>36627122.700000003</v>
      </c>
      <c r="F17" s="25">
        <f>F12*F13*Допущения!$B$82*Допущения!$B$81/Допущения!$B$83*Допущения!F39</f>
        <v>39856968.974454544</v>
      </c>
      <c r="G17" s="25">
        <f>G12*G13*Допущения!$B$82*Допущения!$B$81/Допущения!$B$83*Допущения!G39</f>
        <v>42584024.746390902</v>
      </c>
      <c r="H17" s="25">
        <f>H12*H13*Допущения!$B$82*Допущения!$B$81/Допущения!$B$83*Допущения!H39</f>
        <v>45484143.673084766</v>
      </c>
      <c r="I17" s="25">
        <f>I12*I13*Допущения!$B$82*Допущения!$B$81/Допущения!$B$83*Допущения!I39</f>
        <v>48567814.430582039</v>
      </c>
      <c r="J17" s="25">
        <f>J12*J13*Допущения!$B$82*Допущения!$B$81/Допущения!$B$83*Допущения!J39</f>
        <v>50996205.15211115</v>
      </c>
      <c r="K17" s="25">
        <f>K12*K13*Допущения!$B$82*Допущения!$B$81/Допущения!$B$83*Допущения!K39</f>
        <v>53546015.409716703</v>
      </c>
      <c r="L17" s="25">
        <f>L12*L13*Допущения!$B$82*Допущения!$B$81/Допущения!$B$83*Допущения!L39</f>
        <v>56223316.180202544</v>
      </c>
    </row>
    <row r="18" spans="1:13" ht="15" customHeight="1" x14ac:dyDescent="0.2">
      <c r="A18" s="3" t="s">
        <v>269</v>
      </c>
      <c r="C18" s="25">
        <f>-C12*C13*Допущения!$B$84/Допущения!$B$83*Допущения!C40</f>
        <v>-6303370.9090909092</v>
      </c>
      <c r="D18" s="25">
        <f>-D12*D13*Допущения!$B$84/Допущения!$B$83*Допущения!D40</f>
        <v>-8931243.9272727259</v>
      </c>
      <c r="E18" s="25">
        <f>-E12*E13*Допущения!$B$84/Допущения!$B$83*Допущения!E40</f>
        <v>-9823185.3600000013</v>
      </c>
      <c r="F18" s="25">
        <f>-F12*F13*Допущения!$B$84/Допущения!$B$83*Допущения!F40</f>
        <v>-10791215.626385456</v>
      </c>
      <c r="G18" s="25">
        <f>-G12*G13*Допущения!$B$84/Допущения!$B$83*Допущения!G40</f>
        <v>-11639367.310704874</v>
      </c>
      <c r="H18" s="25">
        <f>-H12*H13*Допущения!$B$84/Допущения!$B$83*Допущения!H40</f>
        <v>-12550448.820887636</v>
      </c>
      <c r="I18" s="25">
        <f>-I12*I13*Допущения!$B$84/Допущения!$B$83*Допущения!I40</f>
        <v>-13528958.389973791</v>
      </c>
      <c r="J18" s="25">
        <f>-J12*J13*Допущения!$B$84/Допущения!$B$83*Допущения!J40</f>
        <v>-14340695.893372221</v>
      </c>
      <c r="K18" s="25">
        <f>-K12*K13*Допущения!$B$84/Допущения!$B$83*Допущения!K40</f>
        <v>-15201137.646974552</v>
      </c>
      <c r="L18" s="25">
        <f>-L12*L13*Допущения!$B$84/Допущения!$B$83*Допущения!L40</f>
        <v>-16113205.905793026</v>
      </c>
    </row>
    <row r="19" spans="1:13" ht="15" customHeight="1" x14ac:dyDescent="0.2">
      <c r="A19" s="4" t="s">
        <v>105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ht="15" customHeight="1" x14ac:dyDescent="0.2">
      <c r="A20" s="3" t="s">
        <v>270</v>
      </c>
      <c r="C20" s="25">
        <f>Допущения!$B$7*Допущения!$B$10*Допущения!$B$11</f>
        <v>0</v>
      </c>
      <c r="D20" s="25">
        <f>Допущения!$B$7*Допущения!$B$10*Допущения!$B$11</f>
        <v>0</v>
      </c>
      <c r="E20" s="25">
        <f>Допущения!$B$7*Допущения!$B$10*Допущения!$B$11</f>
        <v>0</v>
      </c>
      <c r="F20" s="25">
        <f>Допущения!$B$7*Допущения!$B$10*Допущения!$B$11</f>
        <v>0</v>
      </c>
      <c r="G20" s="25">
        <f>Допущения!$B$7*Допущения!$B$10*Допущения!$B$11</f>
        <v>0</v>
      </c>
      <c r="H20" s="25">
        <f>Допущения!$B$7*Допущения!$B$10*Допущения!$B$11</f>
        <v>0</v>
      </c>
      <c r="I20" s="25">
        <f>Допущения!$B$7*Допущения!$B$10*Допущения!$B$11</f>
        <v>0</v>
      </c>
      <c r="J20" s="25">
        <f>Допущения!$B$7*Допущения!$B$10*Допущения!$B$11</f>
        <v>0</v>
      </c>
      <c r="K20" s="25">
        <f>Допущения!$B$7*Допущения!$B$10*Допущения!$B$11</f>
        <v>0</v>
      </c>
      <c r="L20" s="25">
        <f>Допущения!$B$7*Допущения!$B$10*Допущения!$B$11</f>
        <v>0</v>
      </c>
    </row>
    <row r="21" spans="1:13" ht="15" customHeight="1" x14ac:dyDescent="0.2">
      <c r="A21" s="3" t="s">
        <v>262</v>
      </c>
      <c r="C21" s="29">
        <f>MIN(Допущения!C64*Допущения!$B$20,Допущения!$B$12)</f>
        <v>0.32</v>
      </c>
      <c r="D21" s="29">
        <f>MIN(Допущения!D64*Допущения!$B$20,Допущения!$B$12)</f>
        <v>0.45</v>
      </c>
      <c r="E21" s="29">
        <f>MIN(Допущения!E64*Допущения!$B$20,Допущения!$B$12)</f>
        <v>0.48</v>
      </c>
      <c r="F21" s="29">
        <f>MIN(Допущения!F64*Допущения!$B$20,Допущения!$B$12)</f>
        <v>0.5</v>
      </c>
      <c r="G21" s="29">
        <f>MIN(Допущения!G64*Допущения!$B$20,Допущения!$B$12)</f>
        <v>0.51</v>
      </c>
      <c r="H21" s="29">
        <f>MIN(Допущения!H64*Допущения!$B$20,Допущения!$B$12)</f>
        <v>0.52</v>
      </c>
      <c r="I21" s="29">
        <f>MIN(Допущения!I64*Допущения!$B$20,Допущения!$B$12)</f>
        <v>0.53</v>
      </c>
      <c r="J21" s="29">
        <f>MIN(Допущения!J64*Допущения!$B$20,Допущения!$B$12)</f>
        <v>0.53</v>
      </c>
      <c r="K21" s="29">
        <f>MIN(Допущения!K64*Допущения!$B$20,Допущения!$B$12)</f>
        <v>0.53</v>
      </c>
      <c r="L21" s="29">
        <f>MIN(Допущения!L64*Допущения!$B$20,Допущения!$B$12)</f>
        <v>0.53</v>
      </c>
    </row>
    <row r="22" spans="1:13" ht="15" customHeight="1" x14ac:dyDescent="0.2">
      <c r="A22" s="8" t="s">
        <v>263</v>
      </c>
      <c r="C22" s="23">
        <f t="shared" ref="C22:L22" si="1">C20*C21</f>
        <v>0</v>
      </c>
      <c r="D22" s="23">
        <f t="shared" si="1"/>
        <v>0</v>
      </c>
      <c r="E22" s="23">
        <f t="shared" si="1"/>
        <v>0</v>
      </c>
      <c r="F22" s="23">
        <f t="shared" si="1"/>
        <v>0</v>
      </c>
      <c r="G22" s="23">
        <f t="shared" si="1"/>
        <v>0</v>
      </c>
      <c r="H22" s="23">
        <f t="shared" si="1"/>
        <v>0</v>
      </c>
      <c r="I22" s="23">
        <f t="shared" si="1"/>
        <v>0</v>
      </c>
      <c r="J22" s="23">
        <f t="shared" si="1"/>
        <v>0</v>
      </c>
      <c r="K22" s="23">
        <f t="shared" si="1"/>
        <v>0</v>
      </c>
      <c r="L22" s="23">
        <f t="shared" si="1"/>
        <v>0</v>
      </c>
    </row>
    <row r="23" spans="1:13" ht="15" customHeight="1" x14ac:dyDescent="0.2">
      <c r="A23" s="3" t="s">
        <v>264</v>
      </c>
      <c r="C23" s="30">
        <f>0</f>
        <v>0</v>
      </c>
      <c r="D23" s="30">
        <f>0</f>
        <v>0</v>
      </c>
      <c r="E23" s="30">
        <f>0</f>
        <v>0</v>
      </c>
      <c r="F23" s="30">
        <f>0</f>
        <v>0</v>
      </c>
      <c r="G23" s="30">
        <f>0</f>
        <v>0</v>
      </c>
      <c r="H23" s="30">
        <f>0</f>
        <v>0</v>
      </c>
      <c r="I23" s="30">
        <f>0</f>
        <v>0</v>
      </c>
      <c r="J23" s="30">
        <f>0</f>
        <v>0</v>
      </c>
      <c r="K23" s="30">
        <f>0</f>
        <v>0</v>
      </c>
      <c r="L23" s="30">
        <f>0</f>
        <v>0</v>
      </c>
    </row>
    <row r="24" spans="1:13" ht="15" customHeight="1" x14ac:dyDescent="0.2">
      <c r="A24" s="3" t="s">
        <v>265</v>
      </c>
      <c r="C24" s="25">
        <f>C22*(1-C23)*Допущения!$B$51*Допущения!C39</f>
        <v>0</v>
      </c>
      <c r="D24" s="25">
        <f>D22*(1-D23)*Допущения!$B$51*Допущения!D39</f>
        <v>0</v>
      </c>
      <c r="E24" s="25">
        <f>E22*(1-E23)*Допущения!$B$51*Допущения!E39</f>
        <v>0</v>
      </c>
      <c r="F24" s="25">
        <f>F22*(1-F23)*Допущения!$B$51*Допущения!F39</f>
        <v>0</v>
      </c>
      <c r="G24" s="25">
        <f>G22*(1-G23)*Допущения!$B$51*Допущения!G39</f>
        <v>0</v>
      </c>
      <c r="H24" s="25">
        <f>H22*(1-H23)*Допущения!$B$51*Допущения!H39</f>
        <v>0</v>
      </c>
      <c r="I24" s="25">
        <f>I22*(1-I23)*Допущения!$B$51*Допущения!I39</f>
        <v>0</v>
      </c>
      <c r="J24" s="25">
        <f>J22*(1-J23)*Допущения!$B$51*Допущения!J39</f>
        <v>0</v>
      </c>
      <c r="K24" s="25">
        <f>K22*(1-K23)*Допущения!$B$51*Допущения!K39</f>
        <v>0</v>
      </c>
      <c r="L24" s="25">
        <f>L22*(1-L23)*Допущения!$B$51*Допущения!L39</f>
        <v>0</v>
      </c>
    </row>
    <row r="25" spans="1:13" ht="15" customHeight="1" x14ac:dyDescent="0.2">
      <c r="A25" s="3" t="s">
        <v>266</v>
      </c>
      <c r="C25" s="25">
        <f>C22*Допущения!$B$71*Допущения!$B$74*Допущения!C39</f>
        <v>0</v>
      </c>
      <c r="D25" s="25">
        <f>D22*Допущения!$B$71*Допущения!$B$74*Допущения!D39</f>
        <v>0</v>
      </c>
      <c r="E25" s="25">
        <f>E22*Допущения!$B$71*Допущения!$B$74*Допущения!E39</f>
        <v>0</v>
      </c>
      <c r="F25" s="25">
        <f>F22*Допущения!$B$71*Допущения!$B$74*Допущения!F39</f>
        <v>0</v>
      </c>
      <c r="G25" s="25">
        <f>G22*Допущения!$B$71*Допущения!$B$74*Допущения!G39</f>
        <v>0</v>
      </c>
      <c r="H25" s="25">
        <f>H22*Допущения!$B$71*Допущения!$B$74*Допущения!H39</f>
        <v>0</v>
      </c>
      <c r="I25" s="25">
        <f>I22*Допущения!$B$71*Допущения!$B$74*Допущения!I39</f>
        <v>0</v>
      </c>
      <c r="J25" s="25">
        <f>J22*Допущения!$B$71*Допущения!$B$74*Допущения!J39</f>
        <v>0</v>
      </c>
      <c r="K25" s="25">
        <f>K22*Допущения!$B$71*Допущения!$B$74*Допущения!K39</f>
        <v>0</v>
      </c>
      <c r="L25" s="25">
        <f>L22*Допущения!$B$71*Допущения!$B$74*Допущения!L39</f>
        <v>0</v>
      </c>
    </row>
    <row r="26" spans="1:13" ht="15" customHeight="1" x14ac:dyDescent="0.2">
      <c r="A26" s="3" t="s">
        <v>267</v>
      </c>
      <c r="C26" s="25">
        <f>-C25*Допущения!$B$77</f>
        <v>0</v>
      </c>
      <c r="D26" s="25">
        <f>-D25*Допущения!$B$77</f>
        <v>0</v>
      </c>
      <c r="E26" s="25">
        <f>-E25*Допущения!$B$77</f>
        <v>0</v>
      </c>
      <c r="F26" s="25">
        <f>-F25*Допущения!$B$77</f>
        <v>0</v>
      </c>
      <c r="G26" s="25">
        <f>-G25*Допущения!$B$77</f>
        <v>0</v>
      </c>
      <c r="H26" s="25">
        <f>-H25*Допущения!$B$77</f>
        <v>0</v>
      </c>
      <c r="I26" s="25">
        <f>-I25*Допущения!$B$77</f>
        <v>0</v>
      </c>
      <c r="J26" s="25">
        <f>-J25*Допущения!$B$77</f>
        <v>0</v>
      </c>
      <c r="K26" s="25">
        <f>-K25*Допущения!$B$77</f>
        <v>0</v>
      </c>
      <c r="L26" s="25">
        <f>-L25*Допущения!$B$77</f>
        <v>0</v>
      </c>
    </row>
    <row r="27" spans="1:13" ht="15" customHeight="1" x14ac:dyDescent="0.2">
      <c r="A27" s="4" t="s">
        <v>106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15" customHeight="1" x14ac:dyDescent="0.2">
      <c r="A28" s="3" t="s">
        <v>261</v>
      </c>
      <c r="C28" s="25">
        <f>Допущения!$B$8*Допущения!$B$10*Допущения!$B$11-C7</f>
        <v>22117.090909090908</v>
      </c>
      <c r="D28" s="25">
        <f>Допущения!$B$8*Допущения!$B$10*Допущения!$B$11-D7</f>
        <v>21604.363636363636</v>
      </c>
      <c r="E28" s="25">
        <f>Допущения!$B$8*Допущения!$B$10*Допущения!$B$11-E7</f>
        <v>21194.18181818182</v>
      </c>
      <c r="F28" s="25">
        <f>Допущения!$B$8*Допущения!$B$10*Допущения!$B$11-F7</f>
        <v>21194.18181818182</v>
      </c>
      <c r="G28" s="25">
        <f>Допущения!$B$8*Допущения!$B$10*Допущения!$B$11-G7</f>
        <v>21194.18181818182</v>
      </c>
      <c r="H28" s="25">
        <f>Допущения!$B$8*Допущения!$B$10*Допущения!$B$11-H7</f>
        <v>21194.18181818182</v>
      </c>
      <c r="I28" s="25">
        <f>Допущения!$B$8*Допущения!$B$10*Допущения!$B$11-I7</f>
        <v>21194.18181818182</v>
      </c>
      <c r="J28" s="25">
        <f>Допущения!$B$8*Допущения!$B$10*Допущения!$B$11-J7</f>
        <v>21194.18181818182</v>
      </c>
      <c r="K28" s="25">
        <f>Допущения!$B$8*Допущения!$B$10*Допущения!$B$11-K7</f>
        <v>21194.18181818182</v>
      </c>
      <c r="L28" s="25">
        <f>Допущения!$B$8*Допущения!$B$10*Допущения!$B$11-L7</f>
        <v>21194.18181818182</v>
      </c>
    </row>
    <row r="29" spans="1:13" ht="15" customHeight="1" x14ac:dyDescent="0.2">
      <c r="A29" s="3" t="s">
        <v>262</v>
      </c>
      <c r="C29" s="29">
        <f>MIN(Допущения!C65*Допущения!$B$20,Допущения!$B$12)</f>
        <v>0.3</v>
      </c>
      <c r="D29" s="29">
        <f>MIN(Допущения!D65*Допущения!$B$20,Допущения!$B$12)</f>
        <v>0.4</v>
      </c>
      <c r="E29" s="29">
        <f>MIN(Допущения!E65*Допущения!$B$20,Допущения!$B$12)</f>
        <v>0.45</v>
      </c>
      <c r="F29" s="29">
        <f>MIN(Допущения!F65*Допущения!$B$20,Допущения!$B$12)</f>
        <v>0.47</v>
      </c>
      <c r="G29" s="29">
        <f>MIN(Допущения!G65*Допущения!$B$20,Допущения!$B$12)</f>
        <v>0.48</v>
      </c>
      <c r="H29" s="29">
        <f>MIN(Допущения!H65*Допущения!$B$20,Допущения!$B$12)</f>
        <v>0.49</v>
      </c>
      <c r="I29" s="29">
        <f>MIN(Допущения!I65*Допущения!$B$20,Допущения!$B$12)</f>
        <v>0.5</v>
      </c>
      <c r="J29" s="29">
        <f>MIN(Допущения!J65*Допущения!$B$20,Допущения!$B$12)</f>
        <v>0.5</v>
      </c>
      <c r="K29" s="29">
        <f>MIN(Допущения!K65*Допущения!$B$20,Допущения!$B$12)</f>
        <v>0.5</v>
      </c>
      <c r="L29" s="29">
        <f>MIN(Допущения!L65*Допущения!$B$20,Допущения!$B$12)</f>
        <v>0.5</v>
      </c>
    </row>
    <row r="30" spans="1:13" ht="15" customHeight="1" x14ac:dyDescent="0.2">
      <c r="A30" s="8" t="s">
        <v>263</v>
      </c>
      <c r="C30" s="23">
        <f t="shared" ref="C30:L30" si="2">C28*C29</f>
        <v>6635.1272727272726</v>
      </c>
      <c r="D30" s="23">
        <f t="shared" si="2"/>
        <v>8641.7454545454548</v>
      </c>
      <c r="E30" s="23">
        <f t="shared" si="2"/>
        <v>9537.3818181818187</v>
      </c>
      <c r="F30" s="23">
        <f t="shared" si="2"/>
        <v>9961.2654545454552</v>
      </c>
      <c r="G30" s="23">
        <f t="shared" si="2"/>
        <v>10173.207272727273</v>
      </c>
      <c r="H30" s="23">
        <f t="shared" si="2"/>
        <v>10385.149090909092</v>
      </c>
      <c r="I30" s="23">
        <f t="shared" si="2"/>
        <v>10597.09090909091</v>
      </c>
      <c r="J30" s="23">
        <f t="shared" si="2"/>
        <v>10597.09090909091</v>
      </c>
      <c r="K30" s="23">
        <f t="shared" si="2"/>
        <v>10597.09090909091</v>
      </c>
      <c r="L30" s="23">
        <f t="shared" si="2"/>
        <v>10597.09090909091</v>
      </c>
    </row>
    <row r="31" spans="1:13" ht="15" customHeight="1" x14ac:dyDescent="0.2">
      <c r="A31" s="3" t="s">
        <v>264</v>
      </c>
      <c r="C31" s="30">
        <f>IF(Допущения!$B$8&gt;=Допущения!$B$88,Допущения!$B$85,0)</f>
        <v>0.3</v>
      </c>
      <c r="D31" s="30">
        <f>IF(Допущения!$B$8&gt;=Допущения!$B$88,Допущения!$B$85,0)</f>
        <v>0.3</v>
      </c>
      <c r="E31" s="30">
        <f>IF(Допущения!$B$8&gt;=Допущения!$B$88,Допущения!$B$85,0)</f>
        <v>0.3</v>
      </c>
      <c r="F31" s="30">
        <f>IF(Допущения!$B$8&gt;=Допущения!$B$88,Допущения!$B$85,0)</f>
        <v>0.3</v>
      </c>
      <c r="G31" s="30">
        <f>IF(Допущения!$B$8&gt;=Допущения!$B$88,Допущения!$B$85,0)</f>
        <v>0.3</v>
      </c>
      <c r="H31" s="30">
        <f>IF(Допущения!$B$8&gt;=Допущения!$B$88,Допущения!$B$85,0)</f>
        <v>0.3</v>
      </c>
      <c r="I31" s="30">
        <f>IF(Допущения!$B$8&gt;=Допущения!$B$88,Допущения!$B$85,0)</f>
        <v>0.3</v>
      </c>
      <c r="J31" s="30">
        <f>IF(Допущения!$B$8&gt;=Допущения!$B$88,Допущения!$B$85,0)</f>
        <v>0.3</v>
      </c>
      <c r="K31" s="30">
        <f>IF(Допущения!$B$8&gt;=Допущения!$B$88,Допущения!$B$85,0)</f>
        <v>0.3</v>
      </c>
      <c r="L31" s="30">
        <f>IF(Допущения!$B$8&gt;=Допущения!$B$88,Допущения!$B$85,0)</f>
        <v>0.3</v>
      </c>
    </row>
    <row r="32" spans="1:13" ht="15" customHeight="1" x14ac:dyDescent="0.2">
      <c r="A32" s="3" t="s">
        <v>265</v>
      </c>
      <c r="C32" s="25">
        <f>C30*(1-C31)*Допущения!$B$55*Допущения!C39</f>
        <v>6966883.6363636358</v>
      </c>
      <c r="D32" s="25">
        <f>D30*(1-D31)*Допущения!$B$55*Допущения!D39</f>
        <v>9527524.3636363633</v>
      </c>
      <c r="E32" s="25">
        <f>E30*(1-E31)*Допущения!$B$55*Допущения!E39</f>
        <v>11040711.627272727</v>
      </c>
      <c r="F32" s="25">
        <f>F30*(1-F31)*Допущения!$B$55*Допущения!F39</f>
        <v>12107980.417909093</v>
      </c>
      <c r="G32" s="25">
        <f>G30*(1-G31)*Допущения!$B$55*Допущения!G39</f>
        <v>12983876.873672727</v>
      </c>
      <c r="H32" s="25">
        <f>H30*(1-H31)*Допущения!$B$55*Допущения!H39</f>
        <v>13917093.023967955</v>
      </c>
      <c r="I32" s="25">
        <f>I30*(1-I31)*Допущения!$B$55*Допущения!I39</f>
        <v>14911171.097108522</v>
      </c>
      <c r="J32" s="25">
        <f>J30*(1-J31)*Допущения!$B$55*Допущения!J39</f>
        <v>15656729.651963953</v>
      </c>
      <c r="K32" s="25">
        <f>K30*(1-K31)*Допущения!$B$55*Допущения!K39</f>
        <v>16439566.134562148</v>
      </c>
      <c r="L32" s="25">
        <f>L30*(1-L31)*Допущения!$B$55*Допущения!L39</f>
        <v>17261544.441290256</v>
      </c>
    </row>
    <row r="33" spans="1:13" ht="15" customHeight="1" x14ac:dyDescent="0.2">
      <c r="A33" s="3" t="s">
        <v>266</v>
      </c>
      <c r="C33" s="25">
        <f>C30*Допущения!$B$72*Допущения!$B$75*Допущения!C39</f>
        <v>2786753.4545454546</v>
      </c>
      <c r="D33" s="25">
        <f>D30*Допущения!$B$72*Допущения!$B$75*Допущения!D39</f>
        <v>3811009.7454545456</v>
      </c>
      <c r="E33" s="25">
        <f>E30*Допущения!$B$72*Допущения!$B$75*Допущения!E39</f>
        <v>4416284.6509090913</v>
      </c>
      <c r="F33" s="25">
        <f>F30*Допущения!$B$72*Допущения!$B$75*Допущения!F39</f>
        <v>4843192.1671636375</v>
      </c>
      <c r="G33" s="25">
        <f>G30*Допущения!$B$72*Допущения!$B$75*Допущения!G39</f>
        <v>5193550.7494690912</v>
      </c>
      <c r="H33" s="25">
        <f>H30*Допущения!$B$72*Допущения!$B$75*Допущения!H39</f>
        <v>5566837.2095871819</v>
      </c>
      <c r="I33" s="25">
        <f>I30*Допущения!$B$72*Допущения!$B$75*Допущения!I39</f>
        <v>5964468.4388434095</v>
      </c>
      <c r="J33" s="25">
        <f>J30*Допущения!$B$72*Допущения!$B$75*Допущения!J39</f>
        <v>6262691.8607855821</v>
      </c>
      <c r="K33" s="25">
        <f>K30*Допущения!$B$72*Допущения!$B$75*Допущения!K39</f>
        <v>6575826.45382486</v>
      </c>
      <c r="L33" s="25">
        <f>L30*Допущения!$B$72*Допущения!$B$75*Допущения!L39</f>
        <v>6904617.7765161032</v>
      </c>
    </row>
    <row r="34" spans="1:13" ht="15" customHeight="1" x14ac:dyDescent="0.2">
      <c r="A34" s="3" t="s">
        <v>267</v>
      </c>
      <c r="C34" s="25">
        <f>-C33*Допущения!$B$77</f>
        <v>-2229402.7636363637</v>
      </c>
      <c r="D34" s="25">
        <f>-D33*Допущения!$B$77</f>
        <v>-3048807.7963636369</v>
      </c>
      <c r="E34" s="25">
        <f>-E33*Допущения!$B$77</f>
        <v>-3533027.7207272733</v>
      </c>
      <c r="F34" s="25">
        <f>-F33*Допущения!$B$77</f>
        <v>-3874553.7337309103</v>
      </c>
      <c r="G34" s="25">
        <f>-G33*Допущения!$B$77</f>
        <v>-4154840.5995752732</v>
      </c>
      <c r="H34" s="25">
        <f>-H33*Допущения!$B$77</f>
        <v>-4453469.7676697457</v>
      </c>
      <c r="I34" s="25">
        <f>-I33*Допущения!$B$77</f>
        <v>-4771574.7510747276</v>
      </c>
      <c r="J34" s="25">
        <f>-J33*Допущения!$B$77</f>
        <v>-5010153.4886284657</v>
      </c>
      <c r="K34" s="25">
        <f>-K33*Допущения!$B$77</f>
        <v>-5260661.1630598884</v>
      </c>
      <c r="L34" s="25">
        <f>-L33*Допущения!$B$77</f>
        <v>-5523694.2212128825</v>
      </c>
    </row>
    <row r="35" spans="1:13" ht="15" customHeight="1" x14ac:dyDescent="0.2">
      <c r="A35" s="3" t="s">
        <v>268</v>
      </c>
      <c r="C35" s="25">
        <f>C30*C31*Допущения!$B$87*Допущения!$B$86/Допущения!$B$88*Допущения!C39</f>
        <v>11943229.090909092</v>
      </c>
      <c r="D35" s="25">
        <f>D30*D31*Допущения!$B$87*Допущения!$B$86/Допущения!$B$88*Допущения!D39</f>
        <v>16332898.90909091</v>
      </c>
      <c r="E35" s="25">
        <f>E30*E31*Допущения!$B$87*Допущения!$B$86/Допущения!$B$88*Допущения!E39</f>
        <v>18926934.218181819</v>
      </c>
      <c r="F35" s="25">
        <f>F30*F31*Допущения!$B$87*Допущения!$B$86/Допущения!$B$88*Допущения!F39</f>
        <v>20756537.859272733</v>
      </c>
      <c r="G35" s="25">
        <f>G30*G31*Допущения!$B$87*Допущения!$B$86/Допущения!$B$88*Допущения!G39</f>
        <v>22258074.640581816</v>
      </c>
      <c r="H35" s="25">
        <f>H30*H31*Допущения!$B$87*Допущения!$B$86/Допущения!$B$88*Допущения!H39</f>
        <v>23857873.755373638</v>
      </c>
      <c r="I35" s="25">
        <f>I30*I31*Допущения!$B$87*Допущения!$B$86/Допущения!$B$88*Допущения!I39</f>
        <v>25562007.595043182</v>
      </c>
      <c r="J35" s="25">
        <f>J30*J31*Допущения!$B$87*Допущения!$B$86/Допущения!$B$88*Допущения!J39</f>
        <v>26840107.974795345</v>
      </c>
      <c r="K35" s="25">
        <f>K30*K31*Допущения!$B$87*Допущения!$B$86/Допущения!$B$88*Допущения!K39</f>
        <v>28182113.373535112</v>
      </c>
      <c r="L35" s="25">
        <f>L30*L31*Допущения!$B$87*Допущения!$B$86/Допущения!$B$88*Допущения!L39</f>
        <v>29591219.042211868</v>
      </c>
    </row>
    <row r="36" spans="1:13" ht="15" customHeight="1" x14ac:dyDescent="0.2">
      <c r="A36" s="3" t="s">
        <v>269</v>
      </c>
      <c r="C36" s="25">
        <f>-C30*C31*Допущения!$B$89/Допущения!$B$88*Допущения!C40</f>
        <v>-1990538.1818181816</v>
      </c>
      <c r="D36" s="25">
        <f>-D30*D31*Допущения!$B$89/Допущения!$B$88*Допущения!D40</f>
        <v>-2748075.0545454547</v>
      </c>
      <c r="E36" s="25">
        <f>-E30*E31*Допущения!$B$89/Допущения!$B$88*Допущения!E40</f>
        <v>-3214860.6632727277</v>
      </c>
      <c r="F36" s="25">
        <f>-F30*F31*Допущения!$B$89/Допущения!$B$88*Допущения!F40</f>
        <v>-3559207.960983274</v>
      </c>
      <c r="G36" s="25">
        <f>-G30*G31*Допущения!$B$89/Допущения!$B$88*Допущения!G40</f>
        <v>-3853031.9373367862</v>
      </c>
      <c r="H36" s="25">
        <f>-H30*H31*Допущения!$B$89/Допущения!$B$88*Допущения!H40</f>
        <v>-4169301.642193181</v>
      </c>
      <c r="I36" s="25">
        <f>-I30*I31*Допущения!$B$89/Допущения!$B$88*Допущения!I40</f>
        <v>-4509652.7966579311</v>
      </c>
      <c r="J36" s="25">
        <f>-J30*J31*Допущения!$B$89/Допущения!$B$88*Допущения!J40</f>
        <v>-4780231.9644574076</v>
      </c>
      <c r="K36" s="25">
        <f>-K30*K31*Допущения!$B$89/Допущения!$B$88*Допущения!K40</f>
        <v>-5067045.882324852</v>
      </c>
      <c r="L36" s="25">
        <f>-L30*L31*Допущения!$B$89/Допущения!$B$88*Допущения!L40</f>
        <v>-5371068.6352643427</v>
      </c>
    </row>
    <row r="37" spans="1:13" ht="15" customHeight="1" x14ac:dyDescent="0.2">
      <c r="A37" s="4" t="s">
        <v>107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5" customHeight="1" x14ac:dyDescent="0.2">
      <c r="A38" s="3" t="s">
        <v>261</v>
      </c>
      <c r="C38" s="25">
        <f>Допущения!$B$9*Допущения!$B$10*Допущения!$B$11-C8</f>
        <v>11058.545454545454</v>
      </c>
      <c r="D38" s="25">
        <f>Допущения!$B$9*Допущения!$B$10*Допущения!$B$11-D8</f>
        <v>10802.181818181818</v>
      </c>
      <c r="E38" s="25">
        <f>Допущения!$B$9*Допущения!$B$10*Допущения!$B$11-E8</f>
        <v>10597.09090909091</v>
      </c>
      <c r="F38" s="25">
        <f>Допущения!$B$9*Допущения!$B$10*Допущения!$B$11-F8</f>
        <v>10597.09090909091</v>
      </c>
      <c r="G38" s="25">
        <f>Допущения!$B$9*Допущения!$B$10*Допущения!$B$11-G8</f>
        <v>10597.09090909091</v>
      </c>
      <c r="H38" s="25">
        <f>Допущения!$B$9*Допущения!$B$10*Допущения!$B$11-H8</f>
        <v>10597.09090909091</v>
      </c>
      <c r="I38" s="25">
        <f>Допущения!$B$9*Допущения!$B$10*Допущения!$B$11-I8</f>
        <v>10597.09090909091</v>
      </c>
      <c r="J38" s="25">
        <f>Допущения!$B$9*Допущения!$B$10*Допущения!$B$11-J8</f>
        <v>10597.09090909091</v>
      </c>
      <c r="K38" s="25">
        <f>Допущения!$B$9*Допущения!$B$10*Допущения!$B$11-K8</f>
        <v>10597.09090909091</v>
      </c>
      <c r="L38" s="25">
        <f>Допущения!$B$9*Допущения!$B$10*Допущения!$B$11-L8</f>
        <v>10597.09090909091</v>
      </c>
    </row>
    <row r="39" spans="1:13" ht="15" customHeight="1" x14ac:dyDescent="0.2">
      <c r="A39" s="3" t="s">
        <v>262</v>
      </c>
      <c r="C39" s="29">
        <f>MIN(Допущения!C66*Допущения!$B$20,Допущения!$B$12)</f>
        <v>0.24</v>
      </c>
      <c r="D39" s="29">
        <f>MIN(Допущения!D66*Допущения!$B$20,Допущения!$B$12)</f>
        <v>0.31</v>
      </c>
      <c r="E39" s="29">
        <f>MIN(Допущения!E66*Допущения!$B$20,Допущения!$B$12)</f>
        <v>0.35</v>
      </c>
      <c r="F39" s="29">
        <f>MIN(Допущения!F66*Допущения!$B$20,Допущения!$B$12)</f>
        <v>0.36</v>
      </c>
      <c r="G39" s="29">
        <f>MIN(Допущения!G66*Допущения!$B$20,Допущения!$B$12)</f>
        <v>0.37</v>
      </c>
      <c r="H39" s="29">
        <f>MIN(Допущения!H66*Допущения!$B$20,Допущения!$B$12)</f>
        <v>0.38</v>
      </c>
      <c r="I39" s="29">
        <f>MIN(Допущения!I66*Допущения!$B$20,Допущения!$B$12)</f>
        <v>0.39</v>
      </c>
      <c r="J39" s="29">
        <f>MIN(Допущения!J66*Допущения!$B$20,Допущения!$B$12)</f>
        <v>0.39</v>
      </c>
      <c r="K39" s="29">
        <f>MIN(Допущения!K66*Допущения!$B$20,Допущения!$B$12)</f>
        <v>0.39</v>
      </c>
      <c r="L39" s="29">
        <f>MIN(Допущения!L66*Допущения!$B$20,Допущения!$B$12)</f>
        <v>0.39</v>
      </c>
    </row>
    <row r="40" spans="1:13" ht="15" customHeight="1" x14ac:dyDescent="0.2">
      <c r="A40" s="8" t="s">
        <v>263</v>
      </c>
      <c r="C40" s="23">
        <f t="shared" ref="C40:L40" si="3">C38*C39</f>
        <v>2654.050909090909</v>
      </c>
      <c r="D40" s="23">
        <f t="shared" si="3"/>
        <v>3348.6763636363635</v>
      </c>
      <c r="E40" s="23">
        <f t="shared" si="3"/>
        <v>3708.9818181818182</v>
      </c>
      <c r="F40" s="23">
        <f t="shared" si="3"/>
        <v>3814.9527272727273</v>
      </c>
      <c r="G40" s="23">
        <f t="shared" si="3"/>
        <v>3920.9236363636364</v>
      </c>
      <c r="H40" s="23">
        <f t="shared" si="3"/>
        <v>4026.894545454546</v>
      </c>
      <c r="I40" s="23">
        <f t="shared" si="3"/>
        <v>4132.8654545454547</v>
      </c>
      <c r="J40" s="23">
        <f t="shared" si="3"/>
        <v>4132.8654545454547</v>
      </c>
      <c r="K40" s="23">
        <f t="shared" si="3"/>
        <v>4132.8654545454547</v>
      </c>
      <c r="L40" s="23">
        <f t="shared" si="3"/>
        <v>4132.8654545454547</v>
      </c>
    </row>
    <row r="41" spans="1:13" ht="15" customHeight="1" x14ac:dyDescent="0.2">
      <c r="A41" s="3" t="s">
        <v>264</v>
      </c>
      <c r="C41" s="30">
        <f>IF(Допущения!$B$9&gt;=Допущения!$B$93,Допущения!$B$90,0)</f>
        <v>0.3</v>
      </c>
      <c r="D41" s="30">
        <f>IF(Допущения!$B$9&gt;=Допущения!$B$93,Допущения!$B$90,0)</f>
        <v>0.3</v>
      </c>
      <c r="E41" s="30">
        <f>IF(Допущения!$B$9&gt;=Допущения!$B$93,Допущения!$B$90,0)</f>
        <v>0.3</v>
      </c>
      <c r="F41" s="30">
        <f>IF(Допущения!$B$9&gt;=Допущения!$B$93,Допущения!$B$90,0)</f>
        <v>0.3</v>
      </c>
      <c r="G41" s="30">
        <f>IF(Допущения!$B$9&gt;=Допущения!$B$93,Допущения!$B$90,0)</f>
        <v>0.3</v>
      </c>
      <c r="H41" s="30">
        <f>IF(Допущения!$B$9&gt;=Допущения!$B$93,Допущения!$B$90,0)</f>
        <v>0.3</v>
      </c>
      <c r="I41" s="30">
        <f>IF(Допущения!$B$9&gt;=Допущения!$B$93,Допущения!$B$90,0)</f>
        <v>0.3</v>
      </c>
      <c r="J41" s="30">
        <f>IF(Допущения!$B$9&gt;=Допущения!$B$93,Допущения!$B$90,0)</f>
        <v>0.3</v>
      </c>
      <c r="K41" s="30">
        <f>IF(Допущения!$B$9&gt;=Допущения!$B$93,Допущения!$B$90,0)</f>
        <v>0.3</v>
      </c>
      <c r="L41" s="30">
        <f>IF(Допущения!$B$9&gt;=Допущения!$B$93,Допущения!$B$90,0)</f>
        <v>0.3</v>
      </c>
    </row>
    <row r="42" spans="1:13" ht="15" customHeight="1" x14ac:dyDescent="0.2">
      <c r="A42" s="3" t="s">
        <v>265</v>
      </c>
      <c r="C42" s="25">
        <f>C40*(1-C41)*Допущения!$B$59*Допущения!C39</f>
        <v>1277262</v>
      </c>
      <c r="D42" s="25">
        <f>D40*(1-D41)*Допущения!$B$59*Допущения!D39</f>
        <v>1692128.0249999999</v>
      </c>
      <c r="E42" s="25">
        <f>E40*(1-E41)*Допущения!$B$59*Допущения!E39</f>
        <v>1967904.6187499999</v>
      </c>
      <c r="F42" s="25">
        <f>F40*(1-F41)*Допущения!$B$59*Допущения!F39</f>
        <v>2125336.9882499999</v>
      </c>
      <c r="G42" s="25">
        <f>G40*(1-G41)*Допущения!$B$59*Допущения!G39</f>
        <v>2293592.8331531249</v>
      </c>
      <c r="H42" s="25">
        <f>H40*(1-H41)*Допущения!$B$59*Допущения!H39</f>
        <v>2473360.9200759381</v>
      </c>
      <c r="I42" s="25">
        <f>I40*(1-I41)*Допущения!$B$59*Допущения!I39</f>
        <v>2665371.8336081482</v>
      </c>
      <c r="J42" s="25">
        <f>J40*(1-J41)*Допущения!$B$59*Допущения!J39</f>
        <v>2798640.4252885561</v>
      </c>
      <c r="K42" s="25">
        <f>K40*(1-K41)*Допущения!$B$59*Допущения!K39</f>
        <v>2938572.446552984</v>
      </c>
      <c r="L42" s="25">
        <f>L40*(1-L41)*Допущения!$B$59*Допущения!L39</f>
        <v>3085501.068880633</v>
      </c>
    </row>
    <row r="43" spans="1:13" ht="15" customHeight="1" x14ac:dyDescent="0.2">
      <c r="A43" s="3" t="s">
        <v>266</v>
      </c>
      <c r="C43" s="25">
        <f>C40*Допущения!$B$73*Допущения!$B$76*Допущения!C39</f>
        <v>1220863.4181818182</v>
      </c>
      <c r="D43" s="25">
        <f>D40*Допущения!$B$73*Допущения!$B$76*Допущения!D39</f>
        <v>1617410.6836363638</v>
      </c>
      <c r="E43" s="25">
        <f>E40*Допущения!$B$73*Допущения!$B$76*Допущения!E39</f>
        <v>1881010.1290909094</v>
      </c>
      <c r="F43" s="25">
        <f>F40*Допущения!$B$73*Допущения!$B$76*Допущения!F39</f>
        <v>2031490.9394181825</v>
      </c>
      <c r="G43" s="25">
        <f>G40*Допущения!$B$73*Допущения!$B$76*Допущения!G39</f>
        <v>2192317.3054554546</v>
      </c>
      <c r="H43" s="25">
        <f>H40*Допущения!$B$73*Допущения!$B$76*Допущения!H39</f>
        <v>2364147.5807479098</v>
      </c>
      <c r="I43" s="25">
        <f>I40*Допущения!$B$73*Допущения!$B$76*Допущения!I39</f>
        <v>2547680.090305971</v>
      </c>
      <c r="J43" s="25">
        <f>J40*Допущения!$B$73*Допущения!$B$76*Допущения!J39</f>
        <v>2675064.0948212696</v>
      </c>
      <c r="K43" s="25">
        <f>K40*Допущения!$B$73*Допущения!$B$76*Допущения!K39</f>
        <v>2808817.2995623332</v>
      </c>
      <c r="L43" s="25">
        <f>L40*Допущения!$B$73*Допущения!$B$76*Допущения!L39</f>
        <v>2949258.1645404496</v>
      </c>
    </row>
    <row r="44" spans="1:13" ht="15" customHeight="1" x14ac:dyDescent="0.2">
      <c r="A44" s="3" t="s">
        <v>267</v>
      </c>
      <c r="C44" s="25">
        <f>-C43*Допущения!$B$77</f>
        <v>-976690.73454545462</v>
      </c>
      <c r="D44" s="25">
        <f>-D43*Допущения!$B$77</f>
        <v>-1293928.5469090911</v>
      </c>
      <c r="E44" s="25">
        <f>-E43*Допущения!$B$77</f>
        <v>-1504808.1032727277</v>
      </c>
      <c r="F44" s="25">
        <f>-F43*Допущения!$B$77</f>
        <v>-1625192.751534546</v>
      </c>
      <c r="G44" s="25">
        <f>-G43*Допущения!$B$77</f>
        <v>-1753853.8443643637</v>
      </c>
      <c r="H44" s="25">
        <f>-H43*Допущения!$B$77</f>
        <v>-1891318.064598328</v>
      </c>
      <c r="I44" s="25">
        <f>-I43*Допущения!$B$77</f>
        <v>-2038144.0722447769</v>
      </c>
      <c r="J44" s="25">
        <f>-J43*Допущения!$B$77</f>
        <v>-2140051.275857016</v>
      </c>
      <c r="K44" s="25">
        <f>-K43*Допущения!$B$77</f>
        <v>-2247053.8396498668</v>
      </c>
      <c r="L44" s="25">
        <f>-L43*Допущения!$B$77</f>
        <v>-2359406.5316323596</v>
      </c>
    </row>
    <row r="45" spans="1:13" ht="15" customHeight="1" x14ac:dyDescent="0.2">
      <c r="A45" s="3" t="s">
        <v>268</v>
      </c>
      <c r="C45" s="25">
        <f>C40*C41*Допущения!$B$92*Допущения!$B$91/Допущения!$B$93*Допущения!C39</f>
        <v>2547888.8727272726</v>
      </c>
      <c r="D45" s="25">
        <f>D40*D41*Допущения!$B$92*Допущения!$B$91/Допущения!$B$93*Допущения!D39</f>
        <v>3375465.7745454544</v>
      </c>
      <c r="E45" s="25">
        <f>E40*E41*Допущения!$B$92*Допущения!$B$91/Допущения!$B$93*Допущения!E39</f>
        <v>3925586.3563636364</v>
      </c>
      <c r="F45" s="25">
        <f>F40*F41*Допущения!$B$92*Допущения!$B$91/Допущения!$B$93*Допущения!F39</f>
        <v>4239633.2648727279</v>
      </c>
      <c r="G45" s="25">
        <f>G40*G41*Допущения!$B$92*Допущения!$B$91/Допущения!$B$93*Допущения!G39</f>
        <v>4575270.8983418178</v>
      </c>
      <c r="H45" s="25">
        <f>H40*H41*Допущения!$B$92*Допущения!$B$91/Допущения!$B$93*Допущения!H39</f>
        <v>4933873.211995638</v>
      </c>
      <c r="I45" s="25">
        <f>I40*I41*Допущения!$B$92*Допущения!$B$91/Допущения!$B$93*Допущения!I39</f>
        <v>5316897.5797689818</v>
      </c>
      <c r="J45" s="25">
        <f>J40*J41*Допущения!$B$92*Допущения!$B$91/Допущения!$B$93*Допущения!J39</f>
        <v>5582742.4587574322</v>
      </c>
      <c r="K45" s="25">
        <f>K40*K41*Допущения!$B$92*Допущения!$B$91/Допущения!$B$93*Допущения!K39</f>
        <v>5861879.5816953024</v>
      </c>
      <c r="L45" s="25">
        <f>L40*L41*Допущения!$B$92*Допущения!$B$91/Допущения!$B$93*Допущения!L39</f>
        <v>6154973.5607800679</v>
      </c>
    </row>
    <row r="46" spans="1:13" ht="15" customHeight="1" x14ac:dyDescent="0.2">
      <c r="A46" s="3" t="s">
        <v>269</v>
      </c>
      <c r="C46" s="25">
        <f>-C40*C41*Допущения!$B$94/Допущения!$B$93*Допущения!C40</f>
        <v>-1990538.1818181816</v>
      </c>
      <c r="D46" s="25">
        <f>-D40*D41*Допущения!$B$94/Допущения!$B$93*Допущения!D40</f>
        <v>-2662197.709090909</v>
      </c>
      <c r="E46" s="25">
        <f>-E40*E41*Допущения!$B$94/Допущения!$B$93*Допущения!E40</f>
        <v>-3125558.978181819</v>
      </c>
      <c r="F46" s="25">
        <f>-F40*F41*Допущения!$B$94/Допущения!$B$93*Допущения!F40</f>
        <v>-3407752.3030690919</v>
      </c>
      <c r="G46" s="25">
        <f>-G40*G41*Допущения!$B$94/Допущения!$B$93*Допущения!G40</f>
        <v>-3712556.8146213829</v>
      </c>
      <c r="H46" s="25">
        <f>-H40*H41*Допущения!$B$94/Допущения!$B$93*Допущения!H40</f>
        <v>-4041669.9592689006</v>
      </c>
      <c r="I46" s="25">
        <f>-I40*I41*Допущения!$B$94/Допущения!$B$93*Допущения!I40</f>
        <v>-4396911.4767414825</v>
      </c>
      <c r="J46" s="25">
        <f>-J40*J41*Допущения!$B$94/Допущения!$B$93*Допущения!J40</f>
        <v>-4660726.1653459724</v>
      </c>
      <c r="K46" s="25">
        <f>-K40*K41*Допущения!$B$94/Допущения!$B$93*Допущения!K40</f>
        <v>-4940369.7352667302</v>
      </c>
      <c r="L46" s="25">
        <f>-L40*L41*Допущения!$B$94/Допущения!$B$93*Допущения!L40</f>
        <v>-5236791.9193827342</v>
      </c>
    </row>
    <row r="47" spans="1:13" ht="15" customHeight="1" x14ac:dyDescent="0.2">
      <c r="A47" s="4" t="s">
        <v>271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ht="15" customHeight="1" x14ac:dyDescent="0.2">
      <c r="A48" s="3" t="s">
        <v>272</v>
      </c>
      <c r="C48" s="31">
        <f>MIN(Допущения!C100*Допущения!$B$22,16)</f>
        <v>12</v>
      </c>
      <c r="D48" s="31">
        <f>MIN(Допущения!D100*Допущения!$B$22,16)</f>
        <v>14</v>
      </c>
      <c r="E48" s="31">
        <f>MIN(Допущения!E100*Допущения!$B$22,16)</f>
        <v>16</v>
      </c>
      <c r="F48" s="31">
        <f>MIN(Допущения!F100*Допущения!$B$22,16)</f>
        <v>16</v>
      </c>
      <c r="G48" s="31">
        <f>MIN(Допущения!G100*Допущения!$B$22,16)</f>
        <v>16</v>
      </c>
      <c r="H48" s="31">
        <f>MIN(Допущения!H100*Допущения!$B$22,16)</f>
        <v>16</v>
      </c>
      <c r="I48" s="31">
        <f>MIN(Допущения!I100*Допущения!$B$22,16)</f>
        <v>16</v>
      </c>
      <c r="J48" s="31">
        <f>MIN(Допущения!J100*Допущения!$B$22,16)</f>
        <v>16</v>
      </c>
      <c r="K48" s="31">
        <f>MIN(Допущения!K100*Допущения!$B$22,16)</f>
        <v>16</v>
      </c>
      <c r="L48" s="31">
        <f>MIN(Допущения!L100*Допущения!$B$22,16)</f>
        <v>16</v>
      </c>
    </row>
    <row r="49" spans="1:13" ht="15" customHeight="1" x14ac:dyDescent="0.2">
      <c r="A49" s="3" t="s">
        <v>273</v>
      </c>
      <c r="C49" s="32">
        <f>Допущения!C99*Допущения!$B$102</f>
        <v>846</v>
      </c>
      <c r="D49" s="32">
        <f>Допущения!D99*Допущения!$B$102</f>
        <v>1316</v>
      </c>
      <c r="E49" s="32">
        <f>Допущения!E99*Допущения!$B$102</f>
        <v>1692</v>
      </c>
      <c r="F49" s="32">
        <f>Допущения!F99*Допущения!$B$102</f>
        <v>1692</v>
      </c>
      <c r="G49" s="32">
        <f>Допущения!G99*Допущения!$B$102</f>
        <v>1692</v>
      </c>
      <c r="H49" s="32">
        <f>Допущения!H99*Допущения!$B$102</f>
        <v>1692</v>
      </c>
      <c r="I49" s="32">
        <f>Допущения!I99*Допущения!$B$102</f>
        <v>1692</v>
      </c>
      <c r="J49" s="32">
        <f>Допущения!J99*Допущения!$B$102</f>
        <v>1692</v>
      </c>
      <c r="K49" s="32">
        <f>Допущения!K99*Допущения!$B$102</f>
        <v>1692</v>
      </c>
      <c r="L49" s="32">
        <f>Допущения!L99*Допущения!$B$102</f>
        <v>1692</v>
      </c>
    </row>
    <row r="50" spans="1:13" ht="15" customHeight="1" x14ac:dyDescent="0.2">
      <c r="A50" s="8" t="s">
        <v>274</v>
      </c>
      <c r="C50" s="23">
        <f>C49*C48*Допущения!$B$101*Допущения!C39</f>
        <v>8121600</v>
      </c>
      <c r="D50" s="23">
        <f>D49*D48*Допущения!$B$101*Допущения!D39</f>
        <v>15476160</v>
      </c>
      <c r="E50" s="23">
        <f>E49*E48*Допущения!$B$101*Допущения!E39</f>
        <v>23877504</v>
      </c>
      <c r="F50" s="23">
        <f>F49*F48*Допущения!$B$101*Допущения!F39</f>
        <v>25071379.200000003</v>
      </c>
      <c r="G50" s="23">
        <f>G49*G48*Допущения!$B$101*Допущения!G39</f>
        <v>26324948.16</v>
      </c>
      <c r="H50" s="23">
        <f>H49*H48*Допущения!$B$101*Допущения!H39</f>
        <v>27641195.568000004</v>
      </c>
      <c r="I50" s="23">
        <f>I49*I48*Допущения!$B$101*Допущения!I39</f>
        <v>29023255.3464</v>
      </c>
      <c r="J50" s="23">
        <f>J49*J48*Допущения!$B$101*Допущения!J39</f>
        <v>30474418.113720004</v>
      </c>
      <c r="K50" s="23">
        <f>K49*K48*Допущения!$B$101*Допущения!K39</f>
        <v>31998139.019406002</v>
      </c>
      <c r="L50" s="23">
        <f>L49*L48*Допущения!$B$101*Допущения!L39</f>
        <v>33598045.970376305</v>
      </c>
    </row>
    <row r="51" spans="1:13" ht="15" customHeight="1" x14ac:dyDescent="0.2">
      <c r="A51" s="3" t="s">
        <v>275</v>
      </c>
      <c r="C51" s="32">
        <f>MAX(ROUNDUP(C48/Допущения!$B$107,0)-1,0)</f>
        <v>1</v>
      </c>
      <c r="D51" s="32">
        <f>MAX(ROUNDUP(D48/Допущения!$B$107,0)-1,0)</f>
        <v>2</v>
      </c>
      <c r="E51" s="32">
        <f>MAX(ROUNDUP(E48/Допущения!$B$107,0)-1,0)</f>
        <v>2</v>
      </c>
      <c r="F51" s="32">
        <f>MAX(ROUNDUP(F48/Допущения!$B$107,0)-1,0)</f>
        <v>2</v>
      </c>
      <c r="G51" s="32">
        <f>MAX(ROUNDUP(G48/Допущения!$B$107,0)-1,0)</f>
        <v>2</v>
      </c>
      <c r="H51" s="32">
        <f>MAX(ROUNDUP(H48/Допущения!$B$107,0)-1,0)</f>
        <v>2</v>
      </c>
      <c r="I51" s="32">
        <f>MAX(ROUNDUP(I48/Допущения!$B$107,0)-1,0)</f>
        <v>2</v>
      </c>
      <c r="J51" s="32">
        <f>MAX(ROUNDUP(J48/Допущения!$B$107,0)-1,0)</f>
        <v>2</v>
      </c>
      <c r="K51" s="32">
        <f>MAX(ROUNDUP(K48/Допущения!$B$107,0)-1,0)</f>
        <v>2</v>
      </c>
      <c r="L51" s="32">
        <f>MAX(ROUNDUP(L48/Допущения!$B$107,0)-1,0)</f>
        <v>2</v>
      </c>
    </row>
    <row r="52" spans="1:13" ht="15" customHeight="1" x14ac:dyDescent="0.2">
      <c r="A52" s="3" t="s">
        <v>276</v>
      </c>
      <c r="C52" s="25">
        <f>-C49*(Допущения!$B$103+C51*Допущения!$B$104)*Допущения!C40</f>
        <v>-5076000</v>
      </c>
      <c r="D52" s="25">
        <f>-D49*(Допущения!$B$103+D51*Допущения!$B$104)*Допущения!D40</f>
        <v>-11159680</v>
      </c>
      <c r="E52" s="25">
        <f>-E49*(Допущения!$B$103+E51*Допущения!$B$104)*Допущения!E40</f>
        <v>-15209049.600000001</v>
      </c>
      <c r="F52" s="25">
        <f>-F49*(Допущения!$B$103+F51*Допущения!$B$104)*Допущения!F40</f>
        <v>-16121592.576000003</v>
      </c>
      <c r="G52" s="25">
        <f>-G49*(Допущения!$B$103+G51*Допущения!$B$104)*Допущения!G40</f>
        <v>-17088888.130560003</v>
      </c>
      <c r="H52" s="25">
        <f>-H49*(Допущения!$B$103+H51*Допущения!$B$104)*Допущения!H40</f>
        <v>-18114221.418393608</v>
      </c>
      <c r="I52" s="25">
        <f>-I49*(Допущения!$B$103+I51*Допущения!$B$104)*Допущения!I40</f>
        <v>-19201074.703497224</v>
      </c>
      <c r="J52" s="25">
        <f>-J49*(Допущения!$B$103+J51*Допущения!$B$104)*Допущения!J40</f>
        <v>-20353139.185707059</v>
      </c>
      <c r="K52" s="25">
        <f>-K49*(Допущения!$B$103+K51*Допущения!$B$104)*Допущения!K40</f>
        <v>-21574327.53684948</v>
      </c>
      <c r="L52" s="25">
        <f>-L49*(Допущения!$B$103+L51*Допущения!$B$104)*Допущения!L40</f>
        <v>-22868787.18906045</v>
      </c>
    </row>
    <row r="53" spans="1:13" ht="15" customHeight="1" x14ac:dyDescent="0.2">
      <c r="A53" s="4" t="s">
        <v>277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ht="15" customHeight="1" x14ac:dyDescent="0.2">
      <c r="A54" s="3" t="s">
        <v>278</v>
      </c>
      <c r="C54" s="29">
        <f>MIN(Допущения!C116*Допущения!$B$22,1)</f>
        <v>0.6</v>
      </c>
      <c r="D54" s="29">
        <f>MIN(Допущения!D116*Допущения!$B$22,1)</f>
        <v>0.75</v>
      </c>
      <c r="E54" s="29">
        <f>MIN(Допущения!E116*Допущения!$B$22,1)</f>
        <v>0.85</v>
      </c>
      <c r="F54" s="29">
        <f>MIN(Допущения!F116*Допущения!$B$22,1)</f>
        <v>0.85</v>
      </c>
      <c r="G54" s="29">
        <f>MIN(Допущения!G116*Допущения!$B$22,1)</f>
        <v>0.85</v>
      </c>
      <c r="H54" s="29">
        <f>MIN(Допущения!H116*Допущения!$B$22,1)</f>
        <v>0.85</v>
      </c>
      <c r="I54" s="29">
        <f>MIN(Допущения!I116*Допущения!$B$22,1)</f>
        <v>0.85</v>
      </c>
      <c r="J54" s="29">
        <f>MIN(Допущения!J116*Допущения!$B$22,1)</f>
        <v>0.85</v>
      </c>
      <c r="K54" s="29">
        <f>MIN(Допущения!K116*Допущения!$B$22,1)</f>
        <v>0.85</v>
      </c>
      <c r="L54" s="29">
        <f>MIN(Допущения!L116*Допущения!$B$22,1)</f>
        <v>0.85</v>
      </c>
    </row>
    <row r="55" spans="1:13" ht="15" customHeight="1" x14ac:dyDescent="0.2">
      <c r="A55" s="8" t="s">
        <v>279</v>
      </c>
      <c r="C55" s="23">
        <f>Допущения!$B$111*52*Допущения!$B$112*C54*Допущения!$B$113*Допущения!C39</f>
        <v>1310399.9999999998</v>
      </c>
      <c r="D55" s="23">
        <f>Допущения!$B$111*52*Допущения!$B$112*D54*Допущения!$B$113*Допущения!D39</f>
        <v>1719900</v>
      </c>
      <c r="E55" s="23">
        <f>Допущения!$B$111*52*Допущения!$B$112*E54*Допущения!$B$113*Допущения!E39</f>
        <v>2046680.9999999998</v>
      </c>
      <c r="F55" s="23">
        <f>Допущения!$B$111*52*Допущения!$B$112*F54*Допущения!$B$113*Допущения!F39</f>
        <v>2149015.0499999998</v>
      </c>
      <c r="G55" s="23">
        <f>Допущения!$B$111*52*Допущения!$B$112*G54*Допущения!$B$113*Допущения!G39</f>
        <v>2256465.8024999998</v>
      </c>
      <c r="H55" s="23">
        <f>Допущения!$B$111*52*Допущения!$B$112*H54*Допущения!$B$113*Допущения!H39</f>
        <v>2369289.092625</v>
      </c>
      <c r="I55" s="23">
        <f>Допущения!$B$111*52*Допущения!$B$112*I54*Допущения!$B$113*Допущения!I39</f>
        <v>2487753.5472562495</v>
      </c>
      <c r="J55" s="23">
        <f>Допущения!$B$111*52*Допущения!$B$112*J54*Допущения!$B$113*Допущения!J39</f>
        <v>2612141.2246190626</v>
      </c>
      <c r="K55" s="23">
        <f>Допущения!$B$111*52*Допущения!$B$112*K54*Допущения!$B$113*Допущения!K39</f>
        <v>2742748.2858500155</v>
      </c>
      <c r="L55" s="23">
        <f>Допущения!$B$111*52*Допущения!$B$112*L54*Допущения!$B$113*Допущения!L39</f>
        <v>2879885.7001425163</v>
      </c>
    </row>
    <row r="56" spans="1:13" ht="15" customHeight="1" x14ac:dyDescent="0.2">
      <c r="A56" s="3" t="s">
        <v>280</v>
      </c>
      <c r="C56" s="25">
        <f>-Допущения!$B$111*52*Допущения!$B$114*Допущения!C40</f>
        <v>-728000</v>
      </c>
      <c r="D56" s="25">
        <f>-Допущения!$B$111*52*Допущения!$B$114*Допущения!D40</f>
        <v>-771680</v>
      </c>
      <c r="E56" s="25">
        <f>-Допущения!$B$111*52*Допущения!$B$114*Допущения!E40</f>
        <v>-817980.80000000016</v>
      </c>
      <c r="F56" s="25">
        <f>-Допущения!$B$111*52*Допущения!$B$114*Допущения!F40</f>
        <v>-867059.64800000016</v>
      </c>
      <c r="G56" s="25">
        <f>-Допущения!$B$111*52*Допущения!$B$114*Допущения!G40</f>
        <v>-919083.22688000021</v>
      </c>
      <c r="H56" s="25">
        <f>-Допущения!$B$111*52*Допущения!$B$114*Допущения!H40</f>
        <v>-974228.22049280035</v>
      </c>
      <c r="I56" s="25">
        <f>-Допущения!$B$111*52*Допущения!$B$114*Допущения!I40</f>
        <v>-1032681.9137223684</v>
      </c>
      <c r="J56" s="25">
        <f>-Допущения!$B$111*52*Допущения!$B$114*Допущения!J40</f>
        <v>-1094642.8285457108</v>
      </c>
      <c r="K56" s="25">
        <f>-Допущения!$B$111*52*Допущения!$B$114*Допущения!K40</f>
        <v>-1160321.3982584532</v>
      </c>
      <c r="L56" s="25">
        <f>-Допущения!$B$111*52*Допущения!$B$114*Допущения!L40</f>
        <v>-1229940.6821539605</v>
      </c>
    </row>
    <row r="57" spans="1:13" ht="15" customHeight="1" x14ac:dyDescent="0.2">
      <c r="A57" s="4" t="s">
        <v>281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 ht="15" customHeight="1" x14ac:dyDescent="0.2">
      <c r="A58" s="3" t="s">
        <v>282</v>
      </c>
      <c r="C58" s="25">
        <f>(C12+C6)*Допущения!$B$119+(C30+C7)*Допущения!$B$121+(C40+C8)*Допущения!$B$122+C22*Допущения!$B$120</f>
        <v>69101.423999999999</v>
      </c>
      <c r="D58" s="25">
        <f>(D12+D6)*Допущения!$B$119+(D30+D7)*Допущения!$B$121+(D40+D8)*Допущения!$B$122+D22*Допущения!$B$120</f>
        <v>92975.354181818184</v>
      </c>
      <c r="E58" s="25">
        <f>(E12+E6)*Допущения!$B$119+(E30+E7)*Допущения!$B$121+(E40+E8)*Допущения!$B$122+E22*Допущения!$B$120</f>
        <v>101474.64</v>
      </c>
      <c r="F58" s="25">
        <f>(F12+F6)*Допущения!$B$119+(F30+F7)*Допущения!$B$121+(F40+F8)*Допущения!$B$122+F22*Допущения!$B$120</f>
        <v>104738.54399999999</v>
      </c>
      <c r="G58" s="25">
        <f>(G12+G6)*Допущения!$B$119+(G30+G7)*Допущения!$B$121+(G40+G8)*Допущения!$B$122+G22*Допущения!$B$120</f>
        <v>106497.66109090908</v>
      </c>
      <c r="H58" s="25">
        <f>(H12+H6)*Допущения!$B$119+(H30+H7)*Допущения!$B$121+(H40+H8)*Допущения!$B$122+H22*Допущения!$B$120</f>
        <v>108256.77818181817</v>
      </c>
      <c r="I58" s="25">
        <f>(I12+I6)*Допущения!$B$119+(I30+I7)*Допущения!$B$121+(I40+I8)*Допущения!$B$122+I22*Допущения!$B$120</f>
        <v>110015.89527272727</v>
      </c>
      <c r="J58" s="25">
        <f>(J12+J6)*Допущения!$B$119+(J30+J7)*Допущения!$B$121+(J40+J8)*Допущения!$B$122+J22*Допущения!$B$120</f>
        <v>110015.89527272727</v>
      </c>
      <c r="K58" s="25">
        <f>(K12+K6)*Допущения!$B$119+(K30+K7)*Допущения!$B$121+(K40+K8)*Допущения!$B$122+K22*Допущения!$B$120</f>
        <v>110015.89527272727</v>
      </c>
      <c r="L58" s="25">
        <f>(L12+L6)*Допущения!$B$119+(L30+L7)*Допущения!$B$121+(L40+L8)*Допущения!$B$122+L22*Допущения!$B$120</f>
        <v>110015.89527272727</v>
      </c>
    </row>
    <row r="59" spans="1:13" ht="15" customHeight="1" x14ac:dyDescent="0.2">
      <c r="A59" s="8" t="s">
        <v>283</v>
      </c>
      <c r="C59" s="23">
        <f>C58*Допущения!$B$123*Допущения!$B$124*Допущения!C39</f>
        <v>7739359.487999999</v>
      </c>
      <c r="D59" s="23">
        <f>D58*Допущения!$B$123*Допущения!$B$124*Допущения!D39</f>
        <v>10933901.651781816</v>
      </c>
      <c r="E59" s="23">
        <f>E58*Допущения!$B$123*Допущения!$B$124*Допущения!E39</f>
        <v>12530088.5472</v>
      </c>
      <c r="F59" s="23">
        <f>F58*Допущения!$B$123*Допущения!$B$124*Допущения!F39</f>
        <v>13579771.183776001</v>
      </c>
      <c r="G59" s="23">
        <f>G58*Допущения!$B$123*Допущения!$B$124*Допущения!G39</f>
        <v>14498240.138634762</v>
      </c>
      <c r="H59" s="23">
        <f>H58*Допущения!$B$123*Допущения!$B$124*Допущения!H39</f>
        <v>15474606.561019963</v>
      </c>
      <c r="I59" s="23">
        <f>I58*Допущения!$B$123*Допущения!$B$124*Допущения!I39</f>
        <v>16512364.025297094</v>
      </c>
      <c r="J59" s="23">
        <f>J58*Допущения!$B$123*Допущения!$B$124*Допущения!J39</f>
        <v>17337982.226561952</v>
      </c>
      <c r="K59" s="23">
        <f>K58*Допущения!$B$123*Допущения!$B$124*Допущения!K39</f>
        <v>18204881.337890048</v>
      </c>
      <c r="L59" s="23">
        <f>L58*Допущения!$B$123*Допущения!$B$124*Допущения!L39</f>
        <v>19115125.404784549</v>
      </c>
    </row>
    <row r="60" spans="1:13" ht="15" customHeight="1" x14ac:dyDescent="0.2">
      <c r="A60" s="3" t="s">
        <v>284</v>
      </c>
      <c r="C60" s="25">
        <f>-C59*Допущения!$B$125</f>
        <v>-2708775.8207999994</v>
      </c>
      <c r="D60" s="25">
        <f>-D59*Допущения!$B$125</f>
        <v>-3826865.5781236351</v>
      </c>
      <c r="E60" s="25">
        <f>-E59*Допущения!$B$125</f>
        <v>-4385530.9915199997</v>
      </c>
      <c r="F60" s="25">
        <f>-F59*Допущения!$B$125</f>
        <v>-4752919.9143215995</v>
      </c>
      <c r="G60" s="25">
        <f>-G59*Допущения!$B$125</f>
        <v>-5074384.048522166</v>
      </c>
      <c r="H60" s="25">
        <f>-H59*Допущения!$B$125</f>
        <v>-5416112.2963569863</v>
      </c>
      <c r="I60" s="25">
        <f>-I59*Допущения!$B$125</f>
        <v>-5779327.4088539826</v>
      </c>
      <c r="J60" s="25">
        <f>-J59*Допущения!$B$125</f>
        <v>-6068293.7792966831</v>
      </c>
      <c r="K60" s="25">
        <f>-K59*Допущения!$B$125</f>
        <v>-6371708.4682615167</v>
      </c>
      <c r="L60" s="25">
        <f>-L59*Допущения!$B$125</f>
        <v>-6690293.8916745922</v>
      </c>
    </row>
    <row r="61" spans="1:13" ht="15" customHeight="1" x14ac:dyDescent="0.2">
      <c r="A61" s="4" t="s">
        <v>285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</row>
    <row r="62" spans="1:13" ht="15" customHeight="1" x14ac:dyDescent="0.2">
      <c r="A62" s="8" t="s">
        <v>286</v>
      </c>
      <c r="C62" s="23">
        <f>Допущения!$B$128*12*Допущения!C38*Допущения!$B$22</f>
        <v>3600000</v>
      </c>
      <c r="D62" s="23">
        <f>Допущения!$B$128*12*Допущения!D38*Допущения!$B$22</f>
        <v>3780000</v>
      </c>
      <c r="E62" s="23">
        <f>Допущения!$B$128*12*Допущения!E38*Допущения!$B$22</f>
        <v>3969000</v>
      </c>
      <c r="F62" s="23">
        <f>Допущения!$B$128*12*Допущения!F38*Допущения!$B$22</f>
        <v>4167450.0000000005</v>
      </c>
      <c r="G62" s="23">
        <f>Допущения!$B$128*12*Допущения!G38*Допущения!$B$22</f>
        <v>4375822.5</v>
      </c>
      <c r="H62" s="23">
        <f>Допущения!$B$128*12*Допущения!H38*Допущения!$B$22</f>
        <v>4594613.6250000009</v>
      </c>
      <c r="I62" s="23">
        <f>Допущения!$B$128*12*Допущения!I38*Допущения!$B$22</f>
        <v>4824344.3062499994</v>
      </c>
      <c r="J62" s="23">
        <f>Допущения!$B$128*12*Допущения!J38*Допущения!$B$22</f>
        <v>5065561.5215625009</v>
      </c>
      <c r="K62" s="23">
        <f>Допущения!$B$128*12*Допущения!K38*Допущения!$B$22</f>
        <v>5318839.5976406252</v>
      </c>
      <c r="L62" s="23">
        <f>Допущения!$B$128*12*Допущения!L38*Допущения!$B$22</f>
        <v>5584781.5775226569</v>
      </c>
    </row>
    <row r="63" spans="1:13" ht="15" customHeight="1" x14ac:dyDescent="0.2">
      <c r="A63" s="3" t="s">
        <v>287</v>
      </c>
      <c r="C63" s="25">
        <f>-C62*(1-Допущения!$B$129)</f>
        <v>-2520000</v>
      </c>
      <c r="D63" s="25">
        <f>-D62*(1-Допущения!$B$129)</f>
        <v>-2646000</v>
      </c>
      <c r="E63" s="25">
        <f>-E62*(1-Допущения!$B$129)</f>
        <v>-2778300</v>
      </c>
      <c r="F63" s="25">
        <f>-F62*(1-Допущения!$B$129)</f>
        <v>-2917215</v>
      </c>
      <c r="G63" s="25">
        <f>-G62*(1-Допущения!$B$129)</f>
        <v>-3063075.75</v>
      </c>
      <c r="H63" s="25">
        <f>-H62*(1-Допущения!$B$129)</f>
        <v>-3216229.5375000006</v>
      </c>
      <c r="I63" s="25">
        <f>-I62*(1-Допущения!$B$129)</f>
        <v>-3377041.0143749993</v>
      </c>
      <c r="J63" s="25">
        <f>-J62*(1-Допущения!$B$129)</f>
        <v>-3545893.0650937506</v>
      </c>
      <c r="K63" s="25">
        <f>-K62*(1-Допущения!$B$129)</f>
        <v>-3723187.7183484375</v>
      </c>
      <c r="L63" s="25">
        <f>-L62*(1-Допущения!$B$129)</f>
        <v>-3909347.1042658594</v>
      </c>
    </row>
    <row r="64" spans="1:13" ht="15" customHeight="1" x14ac:dyDescent="0.2">
      <c r="A64" s="8" t="s">
        <v>288</v>
      </c>
      <c r="C64" s="23">
        <f>Допущения!C136*12*Допущения!$B$22*Допущения!$B$130*Допущения!C39</f>
        <v>1980000</v>
      </c>
      <c r="D64" s="23">
        <f>Допущения!D136*12*Допущения!$B$22*Допущения!$B$130*Допущения!D39</f>
        <v>3465000</v>
      </c>
      <c r="E64" s="23">
        <f>Допущения!E136*12*Допущения!$B$22*Допущения!$B$130*Допущения!E39</f>
        <v>4365900</v>
      </c>
      <c r="F64" s="23">
        <f>Допущения!F136*12*Допущения!$B$22*Допущения!$B$130*Допущения!F39</f>
        <v>5348227.5000000009</v>
      </c>
      <c r="G64" s="23">
        <f>Допущения!G136*12*Допущения!$B$22*Допущения!$B$130*Допущения!G39</f>
        <v>5615638.875</v>
      </c>
      <c r="H64" s="23">
        <f>Допущения!H136*12*Допущения!$B$22*Допущения!$B$130*Допущения!H39</f>
        <v>5896420.8187500006</v>
      </c>
      <c r="I64" s="23">
        <f>Допущения!I136*12*Допущения!$B$22*Допущения!$B$130*Допущения!I39</f>
        <v>6191241.8596874997</v>
      </c>
      <c r="J64" s="23">
        <f>Допущения!J136*12*Допущения!$B$22*Допущения!$B$130*Допущения!J39</f>
        <v>6500803.9526718762</v>
      </c>
      <c r="K64" s="23">
        <f>Допущения!K136*12*Допущения!$B$22*Допущения!$B$130*Допущения!K39</f>
        <v>6825844.1503054695</v>
      </c>
      <c r="L64" s="23">
        <f>Допущения!L136*12*Допущения!$B$22*Допущения!$B$130*Допущения!L39</f>
        <v>7167136.3578207428</v>
      </c>
    </row>
    <row r="65" spans="1:13" ht="15" customHeight="1" x14ac:dyDescent="0.2">
      <c r="A65" s="3" t="s">
        <v>289</v>
      </c>
      <c r="C65" s="25">
        <f>-C64*Допущения!$B$131</f>
        <v>-594000</v>
      </c>
      <c r="D65" s="25">
        <f>-D64*Допущения!$B$131</f>
        <v>-1039500</v>
      </c>
      <c r="E65" s="25">
        <f>-E64*Допущения!$B$131</f>
        <v>-1309770</v>
      </c>
      <c r="F65" s="25">
        <f>-F64*Допущения!$B$131</f>
        <v>-1604468.2500000002</v>
      </c>
      <c r="G65" s="25">
        <f>-G64*Допущения!$B$131</f>
        <v>-1684691.6624999999</v>
      </c>
      <c r="H65" s="25">
        <f>-H64*Допущения!$B$131</f>
        <v>-1768926.2456250002</v>
      </c>
      <c r="I65" s="25">
        <f>-I64*Допущения!$B$131</f>
        <v>-1857372.5579062498</v>
      </c>
      <c r="J65" s="25">
        <f>-J64*Допущения!$B$131</f>
        <v>-1950241.1858015629</v>
      </c>
      <c r="K65" s="25">
        <f>-K64*Допущения!$B$131</f>
        <v>-2047753.2450916409</v>
      </c>
      <c r="L65" s="25">
        <f>-L64*Допущения!$B$131</f>
        <v>-2150140.9073462225</v>
      </c>
    </row>
    <row r="66" spans="1:13" ht="15" customHeight="1" x14ac:dyDescent="0.2">
      <c r="A66" s="8" t="s">
        <v>290</v>
      </c>
      <c r="C66" s="23">
        <f>Допущения!C137*Допущения!$B$22*Допущения!$B$132*Допущения!$B$133*Допущения!C39</f>
        <v>1500000</v>
      </c>
      <c r="D66" s="23">
        <f>Допущения!D137*Допущения!$B$22*Допущения!$B$132*Допущения!$B$133*Допущения!D39</f>
        <v>3150000</v>
      </c>
      <c r="E66" s="23">
        <f>Допущения!E137*Допущения!$B$22*Допущения!$B$132*Допущения!$B$133*Допущения!E39</f>
        <v>4134375</v>
      </c>
      <c r="F66" s="23">
        <f>Допущения!F137*Допущения!$B$22*Допущения!$B$132*Допущения!$B$133*Допущения!F39</f>
        <v>4341093.7500000009</v>
      </c>
      <c r="G66" s="23">
        <f>Допущения!G137*Допущения!$B$22*Допущения!$B$132*Допущения!$B$133*Допущения!G39</f>
        <v>4558148.4375</v>
      </c>
      <c r="H66" s="23">
        <f>Допущения!H137*Допущения!$B$22*Допущения!$B$132*Допущения!$B$133*Допущения!H39</f>
        <v>4786055.8593750009</v>
      </c>
      <c r="I66" s="23">
        <f>Допущения!I137*Допущения!$B$22*Допущения!$B$132*Допущения!$B$133*Допущения!I39</f>
        <v>5025358.65234375</v>
      </c>
      <c r="J66" s="23">
        <f>Допущения!J137*Допущения!$B$22*Допущения!$B$132*Допущения!$B$133*Допущения!J39</f>
        <v>5276626.5849609384</v>
      </c>
      <c r="K66" s="23">
        <f>Допущения!K137*Допущения!$B$22*Допущения!$B$132*Допущения!$B$133*Допущения!K39</f>
        <v>5540457.9142089849</v>
      </c>
      <c r="L66" s="23">
        <f>Допущения!L137*Допущения!$B$22*Допущения!$B$132*Допущения!$B$133*Допущения!L39</f>
        <v>5817480.8099194346</v>
      </c>
    </row>
    <row r="67" spans="1:13" ht="15" customHeight="1" x14ac:dyDescent="0.2">
      <c r="A67" s="3" t="s">
        <v>291</v>
      </c>
      <c r="C67" s="25">
        <f>-C66*Допущения!$B$134</f>
        <v>-750000</v>
      </c>
      <c r="D67" s="25">
        <f>-D66*Допущения!$B$134</f>
        <v>-1575000</v>
      </c>
      <c r="E67" s="25">
        <f>-E66*Допущения!$B$134</f>
        <v>-2067187.5</v>
      </c>
      <c r="F67" s="25">
        <f>-F66*Допущения!$B$134</f>
        <v>-2170546.8750000005</v>
      </c>
      <c r="G67" s="25">
        <f>-G66*Допущения!$B$134</f>
        <v>-2279074.21875</v>
      </c>
      <c r="H67" s="25">
        <f>-H66*Допущения!$B$134</f>
        <v>-2393027.9296875005</v>
      </c>
      <c r="I67" s="25">
        <f>-I66*Допущения!$B$134</f>
        <v>-2512679.326171875</v>
      </c>
      <c r="J67" s="25">
        <f>-J66*Допущения!$B$134</f>
        <v>-2638313.2924804692</v>
      </c>
      <c r="K67" s="25">
        <f>-K66*Допущения!$B$134</f>
        <v>-2770228.9571044925</v>
      </c>
      <c r="L67" s="25">
        <f>-L66*Допущения!$B$134</f>
        <v>-2908740.4049597173</v>
      </c>
    </row>
    <row r="68" spans="1:13" ht="15" customHeight="1" x14ac:dyDescent="0.2">
      <c r="A68" s="4" t="s">
        <v>292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</row>
    <row r="69" spans="1:13" ht="15" customHeight="1" x14ac:dyDescent="0.2">
      <c r="A69" s="8" t="s">
        <v>293</v>
      </c>
      <c r="C69" s="23">
        <f t="shared" ref="C69:L69" si="4">C14+C24+C32+C42</f>
        <v>35527236.054545447</v>
      </c>
      <c r="D69" s="23">
        <f t="shared" si="4"/>
        <v>49512360.726818182</v>
      </c>
      <c r="E69" s="23">
        <f t="shared" si="4"/>
        <v>54728194.16352272</v>
      </c>
      <c r="F69" s="23">
        <f t="shared" si="4"/>
        <v>59631803.558202274</v>
      </c>
      <c r="G69" s="23">
        <f t="shared" si="4"/>
        <v>63782168.069271982</v>
      </c>
      <c r="H69" s="23">
        <f t="shared" si="4"/>
        <v>68198489.522553176</v>
      </c>
      <c r="I69" s="23">
        <f t="shared" si="4"/>
        <v>72896987.700989291</v>
      </c>
      <c r="J69" s="23">
        <f t="shared" si="4"/>
        <v>76541837.086038768</v>
      </c>
      <c r="K69" s="23">
        <f t="shared" si="4"/>
        <v>80368928.940340683</v>
      </c>
      <c r="L69" s="23">
        <f t="shared" si="4"/>
        <v>84387375.387357727</v>
      </c>
    </row>
    <row r="70" spans="1:13" ht="15" customHeight="1" x14ac:dyDescent="0.2">
      <c r="A70" s="8" t="s">
        <v>294</v>
      </c>
      <c r="C70" s="23">
        <f t="shared" ref="C70:L70" si="5">C15+C25+C33+C43</f>
        <v>11886830.509090908</v>
      </c>
      <c r="D70" s="23">
        <f t="shared" si="5"/>
        <v>16487154.065454544</v>
      </c>
      <c r="E70" s="23">
        <f t="shared" si="5"/>
        <v>18345690.405000001</v>
      </c>
      <c r="F70" s="23">
        <f t="shared" si="5"/>
        <v>19985528.163968183</v>
      </c>
      <c r="G70" s="23">
        <f t="shared" si="5"/>
        <v>21393770.932026818</v>
      </c>
      <c r="H70" s="23">
        <f t="shared" si="5"/>
        <v>22892874.156481396</v>
      </c>
      <c r="I70" s="23">
        <f t="shared" si="5"/>
        <v>24488403.276051365</v>
      </c>
      <c r="J70" s="23">
        <f t="shared" si="5"/>
        <v>25712823.43985394</v>
      </c>
      <c r="K70" s="23">
        <f t="shared" si="5"/>
        <v>26998464.611846633</v>
      </c>
      <c r="L70" s="23">
        <f t="shared" si="5"/>
        <v>28348387.842438966</v>
      </c>
    </row>
    <row r="71" spans="1:13" ht="15" customHeight="1" x14ac:dyDescent="0.2">
      <c r="A71" s="8" t="s">
        <v>295</v>
      </c>
      <c r="C71" s="23">
        <f t="shared" ref="C71:L71" si="6">C17+C35+C45</f>
        <v>38443927.418181822</v>
      </c>
      <c r="D71" s="23">
        <f t="shared" si="6"/>
        <v>53326914.93818181</v>
      </c>
      <c r="E71" s="23">
        <f t="shared" si="6"/>
        <v>59479643.274545461</v>
      </c>
      <c r="F71" s="23">
        <f t="shared" si="6"/>
        <v>64853140.098600008</v>
      </c>
      <c r="G71" s="23">
        <f t="shared" si="6"/>
        <v>69417370.28531453</v>
      </c>
      <c r="H71" s="23">
        <f t="shared" si="6"/>
        <v>74275890.640454039</v>
      </c>
      <c r="I71" s="23">
        <f t="shared" si="6"/>
        <v>79446719.605394214</v>
      </c>
      <c r="J71" s="23">
        <f t="shared" si="6"/>
        <v>83419055.58566393</v>
      </c>
      <c r="K71" s="23">
        <f t="shared" si="6"/>
        <v>87590008.364947125</v>
      </c>
      <c r="L71" s="23">
        <f t="shared" si="6"/>
        <v>91969508.783194467</v>
      </c>
    </row>
    <row r="72" spans="1:13" ht="15" customHeight="1" x14ac:dyDescent="0.2">
      <c r="A72" s="8" t="s">
        <v>296</v>
      </c>
      <c r="C72" s="23">
        <f t="shared" ref="C72:L72" si="7">C69+C70+C71+C50+C55+C59+C62+C64+C66</f>
        <v>110109353.46981817</v>
      </c>
      <c r="D72" s="23">
        <f t="shared" si="7"/>
        <v>157851391.38223636</v>
      </c>
      <c r="E72" s="23">
        <f t="shared" si="7"/>
        <v>183477076.39026818</v>
      </c>
      <c r="F72" s="23">
        <f t="shared" si="7"/>
        <v>199127408.50454649</v>
      </c>
      <c r="G72" s="23">
        <f t="shared" si="7"/>
        <v>212222573.20024812</v>
      </c>
      <c r="H72" s="23">
        <f t="shared" si="7"/>
        <v>226129435.84425855</v>
      </c>
      <c r="I72" s="23">
        <f t="shared" si="7"/>
        <v>240896428.31966949</v>
      </c>
      <c r="J72" s="23">
        <f t="shared" si="7"/>
        <v>252941249.73565298</v>
      </c>
      <c r="K72" s="23">
        <f t="shared" si="7"/>
        <v>265588312.22243562</v>
      </c>
      <c r="L72" s="23">
        <f t="shared" si="7"/>
        <v>278867727.83355737</v>
      </c>
    </row>
    <row r="73" spans="1:13" ht="15" customHeight="1" x14ac:dyDescent="0.2">
      <c r="A73" s="8" t="s">
        <v>297</v>
      </c>
      <c r="C73" s="23">
        <f t="shared" ref="C73:L73" si="8">C16+C26+C34+C44+C18+C36+C46+C52+C56</f>
        <v>-25597911.68</v>
      </c>
      <c r="D73" s="23">
        <f t="shared" si="8"/>
        <v>-39462599.943272725</v>
      </c>
      <c r="E73" s="23">
        <f t="shared" si="8"/>
        <v>-46867187.725454547</v>
      </c>
      <c r="F73" s="23">
        <f t="shared" si="8"/>
        <v>-50735250.645612374</v>
      </c>
      <c r="G73" s="23">
        <f t="shared" si="8"/>
        <v>-54327944.165724501</v>
      </c>
      <c r="H73" s="23">
        <f t="shared" si="8"/>
        <v>-58164169.386421241</v>
      </c>
      <c r="I73" s="23">
        <f t="shared" si="8"/>
        <v>-62260001.9014339</v>
      </c>
      <c r="J73" s="23">
        <f t="shared" si="8"/>
        <v>-65799694.789311521</v>
      </c>
      <c r="K73" s="23">
        <f t="shared" si="8"/>
        <v>-69541973.889151379</v>
      </c>
      <c r="L73" s="23">
        <f t="shared" si="8"/>
        <v>-73498504.605605677</v>
      </c>
    </row>
    <row r="74" spans="1:13" ht="15" customHeight="1" x14ac:dyDescent="0.2">
      <c r="A74" s="8" t="s">
        <v>298</v>
      </c>
      <c r="C74" s="23">
        <f t="shared" ref="C74:L74" si="9">C73+C60+C63+C65+C67</f>
        <v>-32170687.500799999</v>
      </c>
      <c r="D74" s="23">
        <f t="shared" si="9"/>
        <v>-48549965.521396361</v>
      </c>
      <c r="E74" s="23">
        <f t="shared" si="9"/>
        <v>-57407976.216974549</v>
      </c>
      <c r="F74" s="23">
        <f t="shared" si="9"/>
        <v>-62180400.684933975</v>
      </c>
      <c r="G74" s="23">
        <f t="shared" si="9"/>
        <v>-66429169.845496669</v>
      </c>
      <c r="H74" s="23">
        <f t="shared" si="9"/>
        <v>-70958465.395590723</v>
      </c>
      <c r="I74" s="23">
        <f t="shared" si="9"/>
        <v>-75786422.208741009</v>
      </c>
      <c r="J74" s="23">
        <f t="shared" si="9"/>
        <v>-80002436.111984</v>
      </c>
      <c r="K74" s="23">
        <f t="shared" si="9"/>
        <v>-84454852.277957469</v>
      </c>
      <c r="L74" s="23">
        <f t="shared" si="9"/>
        <v>-89157026.913852066</v>
      </c>
      <c r="M74" s="7" t="s">
        <v>299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6"/>
  <sheetViews>
    <sheetView zoomScaleNormal="100" workbookViewId="0"/>
  </sheetViews>
  <sheetFormatPr baseColWidth="10" defaultColWidth="8.6640625" defaultRowHeight="15" x14ac:dyDescent="0.2"/>
  <cols>
    <col min="1" max="1" width="46" customWidth="1"/>
    <col min="2" max="2" width="12" customWidth="1"/>
    <col min="3" max="12" width="12.5" customWidth="1"/>
  </cols>
  <sheetData>
    <row r="1" spans="1:13" ht="15.75" customHeight="1" x14ac:dyDescent="0.2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15" customHeight="1" x14ac:dyDescent="0.2">
      <c r="A3" s="8" t="s">
        <v>71</v>
      </c>
      <c r="C3" s="22" t="s">
        <v>72</v>
      </c>
      <c r="D3" s="22" t="s">
        <v>73</v>
      </c>
      <c r="E3" s="22" t="s">
        <v>74</v>
      </c>
      <c r="F3" s="22" t="s">
        <v>75</v>
      </c>
      <c r="G3" s="22" t="s">
        <v>76</v>
      </c>
      <c r="H3" s="22" t="s">
        <v>77</v>
      </c>
      <c r="I3" s="22" t="s">
        <v>78</v>
      </c>
      <c r="J3" s="22" t="s">
        <v>79</v>
      </c>
      <c r="K3" s="22" t="s">
        <v>80</v>
      </c>
      <c r="L3" s="22" t="s">
        <v>81</v>
      </c>
    </row>
    <row r="4" spans="1:13" ht="15" customHeight="1" x14ac:dyDescent="0.2">
      <c r="A4" s="3" t="s">
        <v>301</v>
      </c>
      <c r="C4" s="25">
        <f>Допущения!$B$140*Допущения!$B$141*12*Допущения!C41</f>
        <v>5292000</v>
      </c>
      <c r="D4" s="25">
        <f>Допущения!$B$140*Допущения!$B$141*12*Допущения!D41</f>
        <v>5662440</v>
      </c>
      <c r="E4" s="25">
        <f>Допущения!$B$140*Допущения!$B$141*12*Допущения!E41</f>
        <v>6058810.7999999998</v>
      </c>
      <c r="F4" s="25">
        <f>Допущения!$B$140*Допущения!$B$141*12*Допущения!F41</f>
        <v>6482927.5560000008</v>
      </c>
      <c r="G4" s="25">
        <f>Допущения!$B$140*Допущения!$B$141*12*Допущения!G41</f>
        <v>6936732.4849199997</v>
      </c>
      <c r="H4" s="25">
        <f>Допущения!$B$140*Допущения!$B$141*12*Допущения!H41</f>
        <v>7422303.7588644009</v>
      </c>
      <c r="I4" s="25">
        <f>Допущения!$B$140*Допущения!$B$141*12*Допущения!I41</f>
        <v>7941865.0219849087</v>
      </c>
      <c r="J4" s="25">
        <f>Допущения!$B$140*Допущения!$B$141*12*Допущения!J41</f>
        <v>8497795.573523853</v>
      </c>
      <c r="K4" s="25">
        <f>Допущения!$B$140*Допущения!$B$141*12*Допущения!K41</f>
        <v>9092641.2636705227</v>
      </c>
      <c r="L4" s="25">
        <f>Допущения!$B$140*Допущения!$B$141*12*Допущения!L41</f>
        <v>9729126.1521274596</v>
      </c>
    </row>
    <row r="5" spans="1:13" ht="15" customHeight="1" x14ac:dyDescent="0.2">
      <c r="A5" s="3" t="s">
        <v>302</v>
      </c>
      <c r="C5" s="25">
        <f>Допущения!$B$142*12*Допущения!C40</f>
        <v>600000</v>
      </c>
      <c r="D5" s="25">
        <f>Допущения!$B$142*12*Допущения!D40</f>
        <v>636000</v>
      </c>
      <c r="E5" s="25">
        <f>Допущения!$B$142*12*Допущения!E40</f>
        <v>674160.00000000012</v>
      </c>
      <c r="F5" s="25">
        <f>Допущения!$B$142*12*Допущения!F40</f>
        <v>714609.60000000021</v>
      </c>
      <c r="G5" s="25">
        <f>Допущения!$B$142*12*Допущения!G40</f>
        <v>757486.17600000021</v>
      </c>
      <c r="H5" s="25">
        <f>Допущения!$B$142*12*Допущения!H40</f>
        <v>802935.34656000033</v>
      </c>
      <c r="I5" s="25">
        <f>Допущения!$B$142*12*Допущения!I40</f>
        <v>851111.46735360031</v>
      </c>
      <c r="J5" s="25">
        <f>Допущения!$B$142*12*Допущения!J40</f>
        <v>902178.15539481654</v>
      </c>
      <c r="K5" s="25">
        <f>Допущения!$B$142*12*Допущения!K40</f>
        <v>956308.8447185054</v>
      </c>
      <c r="L5" s="25">
        <f>Допущения!$B$142*12*Допущения!L40</f>
        <v>1013687.3754016157</v>
      </c>
    </row>
    <row r="6" spans="1:13" ht="15" customHeight="1" x14ac:dyDescent="0.2">
      <c r="A6" s="3" t="s">
        <v>303</v>
      </c>
      <c r="C6" s="25">
        <f>Допущения!$B$143*12*Допущения!C40</f>
        <v>4200000</v>
      </c>
      <c r="D6" s="25">
        <f>Допущения!$B$143*12*Допущения!D40</f>
        <v>4452000</v>
      </c>
      <c r="E6" s="25">
        <f>Допущения!$B$143*12*Допущения!E40</f>
        <v>4719120.0000000009</v>
      </c>
      <c r="F6" s="25">
        <f>Допущения!$B$143*12*Допущения!F40</f>
        <v>5002267.2000000011</v>
      </c>
      <c r="G6" s="25">
        <f>Допущения!$B$143*12*Допущения!G40</f>
        <v>5302403.2320000017</v>
      </c>
      <c r="H6" s="25">
        <f>Допущения!$B$143*12*Допущения!H40</f>
        <v>5620547.4259200022</v>
      </c>
      <c r="I6" s="25">
        <f>Допущения!$B$143*12*Допущения!I40</f>
        <v>5957780.2714752024</v>
      </c>
      <c r="J6" s="25">
        <f>Допущения!$B$143*12*Допущения!J40</f>
        <v>6315247.0877637155</v>
      </c>
      <c r="K6" s="25">
        <f>Допущения!$B$143*12*Допущения!K40</f>
        <v>6694161.9130295375</v>
      </c>
      <c r="L6" s="25">
        <f>Допущения!$B$143*12*Допущения!L40</f>
        <v>7095811.6278113099</v>
      </c>
    </row>
    <row r="7" spans="1:13" ht="15" customHeight="1" x14ac:dyDescent="0.2">
      <c r="A7" s="3" t="s">
        <v>304</v>
      </c>
      <c r="C7" s="25">
        <f>Допущения!$B$144*12*Допущения!C40</f>
        <v>1200000</v>
      </c>
      <c r="D7" s="25">
        <f>Допущения!$B$144*12*Допущения!D40</f>
        <v>1272000</v>
      </c>
      <c r="E7" s="25">
        <f>Допущения!$B$144*12*Допущения!E40</f>
        <v>1348320.0000000002</v>
      </c>
      <c r="F7" s="25">
        <f>Допущения!$B$144*12*Допущения!F40</f>
        <v>1429219.2000000004</v>
      </c>
      <c r="G7" s="25">
        <f>Допущения!$B$144*12*Допущения!G40</f>
        <v>1514972.3520000004</v>
      </c>
      <c r="H7" s="25">
        <f>Допущения!$B$144*12*Допущения!H40</f>
        <v>1605870.6931200007</v>
      </c>
      <c r="I7" s="25">
        <f>Допущения!$B$144*12*Допущения!I40</f>
        <v>1702222.9347072006</v>
      </c>
      <c r="J7" s="25">
        <f>Допущения!$B$144*12*Допущения!J40</f>
        <v>1804356.3107896331</v>
      </c>
      <c r="K7" s="25">
        <f>Допущения!$B$144*12*Допущения!K40</f>
        <v>1912617.6894370108</v>
      </c>
      <c r="L7" s="25">
        <f>Допущения!$B$144*12*Допущения!L40</f>
        <v>2027374.7508032315</v>
      </c>
    </row>
    <row r="8" spans="1:13" ht="15" customHeight="1" x14ac:dyDescent="0.2">
      <c r="A8" s="3" t="s">
        <v>305</v>
      </c>
      <c r="C8" s="25">
        <f>Допущения!$B$145*12*Допущения!C40</f>
        <v>1560000</v>
      </c>
      <c r="D8" s="25">
        <f>Допущения!$B$145*12*Допущения!D40</f>
        <v>1653600</v>
      </c>
      <c r="E8" s="25">
        <f>Допущения!$B$145*12*Допущения!E40</f>
        <v>1752816.0000000002</v>
      </c>
      <c r="F8" s="25">
        <f>Допущения!$B$145*12*Допущения!F40</f>
        <v>1857984.9600000004</v>
      </c>
      <c r="G8" s="25">
        <f>Допущения!$B$145*12*Допущения!G40</f>
        <v>1969464.0576000004</v>
      </c>
      <c r="H8" s="25">
        <f>Допущения!$B$145*12*Допущения!H40</f>
        <v>2087631.9010560007</v>
      </c>
      <c r="I8" s="25">
        <f>Допущения!$B$145*12*Допущения!I40</f>
        <v>2212889.815119361</v>
      </c>
      <c r="J8" s="25">
        <f>Допущения!$B$145*12*Допущения!J40</f>
        <v>2345663.204026523</v>
      </c>
      <c r="K8" s="25">
        <f>Допущения!$B$145*12*Допущения!K40</f>
        <v>2486402.9962681141</v>
      </c>
      <c r="L8" s="25">
        <f>Допущения!$B$145*12*Допущения!L40</f>
        <v>2635587.176044201</v>
      </c>
    </row>
    <row r="9" spans="1:13" ht="15" customHeight="1" x14ac:dyDescent="0.2">
      <c r="A9" s="3" t="s">
        <v>306</v>
      </c>
      <c r="C9" s="25">
        <f>Допущения!$B$146*12*Допущения!C40</f>
        <v>2040000</v>
      </c>
      <c r="D9" s="25">
        <f>Допущения!$B$146*12*Допущения!D40</f>
        <v>2162400</v>
      </c>
      <c r="E9" s="25">
        <f>Допущения!$B$146*12*Допущения!E40</f>
        <v>2292144.0000000005</v>
      </c>
      <c r="F9" s="25">
        <f>Допущения!$B$146*12*Допущения!F40</f>
        <v>2429672.6400000006</v>
      </c>
      <c r="G9" s="25">
        <f>Допущения!$B$146*12*Допущения!G40</f>
        <v>2575452.9984000009</v>
      </c>
      <c r="H9" s="25">
        <f>Допущения!$B$146*12*Допущения!H40</f>
        <v>2729980.1783040012</v>
      </c>
      <c r="I9" s="25">
        <f>Допущения!$B$146*12*Допущения!I40</f>
        <v>2893778.9890022413</v>
      </c>
      <c r="J9" s="25">
        <f>Допущения!$B$146*12*Допущения!J40</f>
        <v>3067405.7283423762</v>
      </c>
      <c r="K9" s="25">
        <f>Допущения!$B$146*12*Допущения!K40</f>
        <v>3251450.0720429183</v>
      </c>
      <c r="L9" s="25">
        <f>Допущения!$B$146*12*Допущения!L40</f>
        <v>3446537.0763654932</v>
      </c>
    </row>
    <row r="10" spans="1:13" ht="15" customHeight="1" x14ac:dyDescent="0.2">
      <c r="A10" s="3" t="s">
        <v>307</v>
      </c>
      <c r="C10" s="25">
        <f>Допущения!$B$147*12*Допущения!C40</f>
        <v>1200000</v>
      </c>
      <c r="D10" s="25">
        <f>Допущения!$B$147*12*Допущения!D40</f>
        <v>1272000</v>
      </c>
      <c r="E10" s="25">
        <f>Допущения!$B$147*12*Допущения!E40</f>
        <v>1348320.0000000002</v>
      </c>
      <c r="F10" s="25">
        <f>Допущения!$B$147*12*Допущения!F40</f>
        <v>1429219.2000000004</v>
      </c>
      <c r="G10" s="25">
        <f>Допущения!$B$147*12*Допущения!G40</f>
        <v>1514972.3520000004</v>
      </c>
      <c r="H10" s="25">
        <f>Допущения!$B$147*12*Допущения!H40</f>
        <v>1605870.6931200007</v>
      </c>
      <c r="I10" s="25">
        <f>Допущения!$B$147*12*Допущения!I40</f>
        <v>1702222.9347072006</v>
      </c>
      <c r="J10" s="25">
        <f>Допущения!$B$147*12*Допущения!J40</f>
        <v>1804356.3107896331</v>
      </c>
      <c r="K10" s="25">
        <f>Допущения!$B$147*12*Допущения!K40</f>
        <v>1912617.6894370108</v>
      </c>
      <c r="L10" s="25">
        <f>Допущения!$B$147*12*Допущения!L40</f>
        <v>2027374.7508032315</v>
      </c>
    </row>
    <row r="11" spans="1:13" ht="15" customHeight="1" x14ac:dyDescent="0.2">
      <c r="A11" s="3" t="s">
        <v>308</v>
      </c>
      <c r="C11" s="25">
        <f>Допущения!$B$148*12*Допущения!C40</f>
        <v>900000</v>
      </c>
      <c r="D11" s="25">
        <f>Допущения!$B$148*12*Допущения!D40</f>
        <v>954000</v>
      </c>
      <c r="E11" s="25">
        <f>Допущения!$B$148*12*Допущения!E40</f>
        <v>1011240.0000000001</v>
      </c>
      <c r="F11" s="25">
        <f>Допущения!$B$148*12*Допущения!F40</f>
        <v>1071914.4000000004</v>
      </c>
      <c r="G11" s="25">
        <f>Допущения!$B$148*12*Допущения!G40</f>
        <v>1136229.2640000002</v>
      </c>
      <c r="H11" s="25">
        <f>Допущения!$B$148*12*Допущения!H40</f>
        <v>1204403.0198400004</v>
      </c>
      <c r="I11" s="25">
        <f>Допущения!$B$148*12*Допущения!I40</f>
        <v>1276667.2010304006</v>
      </c>
      <c r="J11" s="25">
        <f>Допущения!$B$148*12*Допущения!J40</f>
        <v>1353267.2330922247</v>
      </c>
      <c r="K11" s="25">
        <f>Допущения!$B$148*12*Допущения!K40</f>
        <v>1434463.267077758</v>
      </c>
      <c r="L11" s="25">
        <f>Допущения!$B$148*12*Допущения!L40</f>
        <v>1520531.0631024237</v>
      </c>
    </row>
    <row r="12" spans="1:13" ht="15" customHeight="1" x14ac:dyDescent="0.2">
      <c r="A12" s="3" t="s">
        <v>309</v>
      </c>
      <c r="C12" s="25">
        <f>Допущения!$B$149*12*Допущения!C40</f>
        <v>720000</v>
      </c>
      <c r="D12" s="25">
        <f>Допущения!$B$149*12*Допущения!D40</f>
        <v>763200</v>
      </c>
      <c r="E12" s="25">
        <f>Допущения!$B$149*12*Допущения!E40</f>
        <v>808992.00000000012</v>
      </c>
      <c r="F12" s="25">
        <f>Допущения!$B$149*12*Допущения!F40</f>
        <v>857531.52000000025</v>
      </c>
      <c r="G12" s="25">
        <f>Допущения!$B$149*12*Допущения!G40</f>
        <v>908983.41120000021</v>
      </c>
      <c r="H12" s="25">
        <f>Допущения!$B$149*12*Допущения!H40</f>
        <v>963522.41587200039</v>
      </c>
      <c r="I12" s="25">
        <f>Допущения!$B$149*12*Допущения!I40</f>
        <v>1021333.7608243204</v>
      </c>
      <c r="J12" s="25">
        <f>Допущения!$B$149*12*Допущения!J40</f>
        <v>1082613.7864737797</v>
      </c>
      <c r="K12" s="25">
        <f>Допущения!$B$149*12*Допущения!K40</f>
        <v>1147570.6136622066</v>
      </c>
      <c r="L12" s="25">
        <f>Допущения!$B$149*12*Допущения!L40</f>
        <v>1216424.8504819388</v>
      </c>
    </row>
    <row r="13" spans="1:13" ht="15" customHeight="1" x14ac:dyDescent="0.2">
      <c r="A13" s="3" t="s">
        <v>310</v>
      </c>
      <c r="C13" s="25">
        <f>Допущения!$B$150*12*Допущения!C40</f>
        <v>1560000</v>
      </c>
      <c r="D13" s="25">
        <f>Допущения!$B$150*12*Допущения!D40</f>
        <v>1653600</v>
      </c>
      <c r="E13" s="25">
        <f>Допущения!$B$150*12*Допущения!E40</f>
        <v>1752816.0000000002</v>
      </c>
      <c r="F13" s="25">
        <f>Допущения!$B$150*12*Допущения!F40</f>
        <v>1857984.9600000004</v>
      </c>
      <c r="G13" s="25">
        <f>Допущения!$B$150*12*Допущения!G40</f>
        <v>1969464.0576000004</v>
      </c>
      <c r="H13" s="25">
        <f>Допущения!$B$150*12*Допущения!H40</f>
        <v>2087631.9010560007</v>
      </c>
      <c r="I13" s="25">
        <f>Допущения!$B$150*12*Допущения!I40</f>
        <v>2212889.815119361</v>
      </c>
      <c r="J13" s="25">
        <f>Допущения!$B$150*12*Допущения!J40</f>
        <v>2345663.204026523</v>
      </c>
      <c r="K13" s="25">
        <f>Допущения!$B$150*12*Допущения!K40</f>
        <v>2486402.9962681141</v>
      </c>
      <c r="L13" s="25">
        <f>Допущения!$B$150*12*Допущения!L40</f>
        <v>2635587.176044201</v>
      </c>
    </row>
    <row r="14" spans="1:13" ht="15" customHeight="1" x14ac:dyDescent="0.2">
      <c r="A14" s="8" t="s">
        <v>311</v>
      </c>
      <c r="C14" s="23">
        <f t="shared" ref="C14:L14" si="0">SUM(C4:C13)</f>
        <v>19272000</v>
      </c>
      <c r="D14" s="23">
        <f t="shared" si="0"/>
        <v>20481240</v>
      </c>
      <c r="E14" s="23">
        <f t="shared" si="0"/>
        <v>21766738.800000001</v>
      </c>
      <c r="F14" s="23">
        <f t="shared" si="0"/>
        <v>23133331.236000005</v>
      </c>
      <c r="G14" s="23">
        <f t="shared" si="0"/>
        <v>24586160.385720003</v>
      </c>
      <c r="H14" s="23">
        <f t="shared" si="0"/>
        <v>26130697.333712406</v>
      </c>
      <c r="I14" s="23">
        <f t="shared" si="0"/>
        <v>27772762.211323798</v>
      </c>
      <c r="J14" s="23">
        <f t="shared" si="0"/>
        <v>29518546.594223082</v>
      </c>
      <c r="K14" s="23">
        <f t="shared" si="0"/>
        <v>31374637.345611699</v>
      </c>
      <c r="L14" s="23">
        <f t="shared" si="0"/>
        <v>33348041.998985104</v>
      </c>
    </row>
    <row r="16" spans="1:13" ht="15" customHeight="1" x14ac:dyDescent="0.2">
      <c r="A16" s="3" t="s">
        <v>312</v>
      </c>
      <c r="C16" s="25">
        <f>0</f>
        <v>0</v>
      </c>
      <c r="D16" s="25">
        <f>Допущения!$B$151*CAPEX!$B$24</f>
        <v>3684528.0000000005</v>
      </c>
      <c r="E16" s="25">
        <f>Допущения!$B$151*CAPEX!$B$24</f>
        <v>3684528.0000000005</v>
      </c>
      <c r="F16" s="25">
        <f>Допущения!$B$151*CAPEX!$B$24</f>
        <v>3684528.0000000005</v>
      </c>
      <c r="G16" s="25">
        <f>Допущения!$B$151*CAPEX!$B$24</f>
        <v>3684528.0000000005</v>
      </c>
      <c r="H16" s="25">
        <f>Допущения!$B$151*CAPEX!$B$24</f>
        <v>3684528.0000000005</v>
      </c>
      <c r="I16" s="25">
        <f>Допущения!$B$151*CAPEX!$B$24</f>
        <v>3684528.0000000005</v>
      </c>
      <c r="J16" s="25">
        <f>Допущения!$B$151*CAPEX!$B$24</f>
        <v>3684528.0000000005</v>
      </c>
      <c r="K16" s="25">
        <f>Допущения!$B$151*CAPEX!$B$24</f>
        <v>3684528.0000000005</v>
      </c>
      <c r="L16" s="25">
        <f>Допущения!$B$151*CAPEX!$B$24</f>
        <v>3684528.0000000005</v>
      </c>
      <c r="M16" s="7" t="s">
        <v>313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46" customWidth="1"/>
    <col min="2" max="2" width="12" customWidth="1"/>
    <col min="3" max="12" width="12.5" customWidth="1"/>
  </cols>
  <sheetData>
    <row r="1" spans="1:13" ht="15.75" customHeight="1" x14ac:dyDescent="0.2">
      <c r="A1" s="1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15" customHeight="1" x14ac:dyDescent="0.2">
      <c r="A3" s="8" t="s">
        <v>71</v>
      </c>
      <c r="C3" s="22" t="s">
        <v>72</v>
      </c>
      <c r="D3" s="22" t="s">
        <v>73</v>
      </c>
      <c r="E3" s="22" t="s">
        <v>74</v>
      </c>
      <c r="F3" s="22" t="s">
        <v>75</v>
      </c>
      <c r="G3" s="22" t="s">
        <v>76</v>
      </c>
      <c r="H3" s="22" t="s">
        <v>77</v>
      </c>
      <c r="I3" s="22" t="s">
        <v>78</v>
      </c>
      <c r="J3" s="22" t="s">
        <v>79</v>
      </c>
      <c r="K3" s="22" t="s">
        <v>80</v>
      </c>
      <c r="L3" s="22" t="s">
        <v>81</v>
      </c>
    </row>
    <row r="4" spans="1:13" ht="15" customHeight="1" x14ac:dyDescent="0.2">
      <c r="A4" s="4" t="s">
        <v>315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ht="15" customHeight="1" x14ac:dyDescent="0.2">
      <c r="A5" s="3" t="s">
        <v>293</v>
      </c>
      <c r="C5" s="9">
        <f>Выручка!C69</f>
        <v>35527236.054545447</v>
      </c>
      <c r="D5" s="9">
        <f>Выручка!D69</f>
        <v>49512360.726818182</v>
      </c>
      <c r="E5" s="9">
        <f>Выручка!E69</f>
        <v>54728194.16352272</v>
      </c>
      <c r="F5" s="9">
        <f>Выручка!F69</f>
        <v>59631803.558202274</v>
      </c>
      <c r="G5" s="9">
        <f>Выручка!G69</f>
        <v>63782168.069271982</v>
      </c>
      <c r="H5" s="9">
        <f>Выручка!H69</f>
        <v>68198489.522553176</v>
      </c>
      <c r="I5" s="9">
        <f>Выручка!I69</f>
        <v>72896987.700989291</v>
      </c>
      <c r="J5" s="9">
        <f>Выручка!J69</f>
        <v>76541837.086038768</v>
      </c>
      <c r="K5" s="9">
        <f>Выручка!K69</f>
        <v>80368928.940340683</v>
      </c>
      <c r="L5" s="9">
        <f>Выручка!L69</f>
        <v>84387375.387357727</v>
      </c>
    </row>
    <row r="6" spans="1:13" ht="15" customHeight="1" x14ac:dyDescent="0.2">
      <c r="A6" s="3" t="s">
        <v>294</v>
      </c>
      <c r="C6" s="9">
        <f>Выручка!C70</f>
        <v>11886830.509090908</v>
      </c>
      <c r="D6" s="9">
        <f>Выручка!D70</f>
        <v>16487154.065454544</v>
      </c>
      <c r="E6" s="9">
        <f>Выручка!E70</f>
        <v>18345690.405000001</v>
      </c>
      <c r="F6" s="9">
        <f>Выручка!F70</f>
        <v>19985528.163968183</v>
      </c>
      <c r="G6" s="9">
        <f>Выручка!G70</f>
        <v>21393770.932026818</v>
      </c>
      <c r="H6" s="9">
        <f>Выручка!H70</f>
        <v>22892874.156481396</v>
      </c>
      <c r="I6" s="9">
        <f>Выручка!I70</f>
        <v>24488403.276051365</v>
      </c>
      <c r="J6" s="9">
        <f>Выручка!J70</f>
        <v>25712823.43985394</v>
      </c>
      <c r="K6" s="9">
        <f>Выручка!K70</f>
        <v>26998464.611846633</v>
      </c>
      <c r="L6" s="9">
        <f>Выручка!L70</f>
        <v>28348387.842438966</v>
      </c>
    </row>
    <row r="7" spans="1:13" ht="15" customHeight="1" x14ac:dyDescent="0.2">
      <c r="A7" s="3" t="s">
        <v>295</v>
      </c>
      <c r="C7" s="9">
        <f>Выручка!C71</f>
        <v>38443927.418181822</v>
      </c>
      <c r="D7" s="9">
        <f>Выручка!D71</f>
        <v>53326914.93818181</v>
      </c>
      <c r="E7" s="9">
        <f>Выручка!E71</f>
        <v>59479643.274545461</v>
      </c>
      <c r="F7" s="9">
        <f>Выручка!F71</f>
        <v>64853140.098600008</v>
      </c>
      <c r="G7" s="9">
        <f>Выручка!G71</f>
        <v>69417370.28531453</v>
      </c>
      <c r="H7" s="9">
        <f>Выручка!H71</f>
        <v>74275890.640454039</v>
      </c>
      <c r="I7" s="9">
        <f>Выручка!I71</f>
        <v>79446719.605394214</v>
      </c>
      <c r="J7" s="9">
        <f>Выручка!J71</f>
        <v>83419055.58566393</v>
      </c>
      <c r="K7" s="9">
        <f>Выручка!K71</f>
        <v>87590008.364947125</v>
      </c>
      <c r="L7" s="9">
        <f>Выручка!L71</f>
        <v>91969508.783194467</v>
      </c>
    </row>
    <row r="8" spans="1:13" ht="15" customHeight="1" x14ac:dyDescent="0.2">
      <c r="A8" s="3" t="s">
        <v>271</v>
      </c>
      <c r="C8" s="9">
        <f>Выручка!C50</f>
        <v>8121600</v>
      </c>
      <c r="D8" s="9">
        <f>Выручка!D50</f>
        <v>15476160</v>
      </c>
      <c r="E8" s="9">
        <f>Выручка!E50</f>
        <v>23877504</v>
      </c>
      <c r="F8" s="9">
        <f>Выручка!F50</f>
        <v>25071379.200000003</v>
      </c>
      <c r="G8" s="9">
        <f>Выручка!G50</f>
        <v>26324948.16</v>
      </c>
      <c r="H8" s="9">
        <f>Выручка!H50</f>
        <v>27641195.568000004</v>
      </c>
      <c r="I8" s="9">
        <f>Выручка!I50</f>
        <v>29023255.3464</v>
      </c>
      <c r="J8" s="9">
        <f>Выручка!J50</f>
        <v>30474418.113720004</v>
      </c>
      <c r="K8" s="9">
        <f>Выручка!K50</f>
        <v>31998139.019406002</v>
      </c>
      <c r="L8" s="9">
        <f>Выручка!L50</f>
        <v>33598045.970376305</v>
      </c>
    </row>
    <row r="9" spans="1:13" ht="15" customHeight="1" x14ac:dyDescent="0.2">
      <c r="A9" s="3" t="s">
        <v>316</v>
      </c>
      <c r="C9" s="9">
        <f>Выручка!C55</f>
        <v>1310399.9999999998</v>
      </c>
      <c r="D9" s="9">
        <f>Выручка!D55</f>
        <v>1719900</v>
      </c>
      <c r="E9" s="9">
        <f>Выручка!E55</f>
        <v>2046680.9999999998</v>
      </c>
      <c r="F9" s="9">
        <f>Выручка!F55</f>
        <v>2149015.0499999998</v>
      </c>
      <c r="G9" s="9">
        <f>Выручка!G55</f>
        <v>2256465.8024999998</v>
      </c>
      <c r="H9" s="9">
        <f>Выручка!H55</f>
        <v>2369289.092625</v>
      </c>
      <c r="I9" s="9">
        <f>Выручка!I55</f>
        <v>2487753.5472562495</v>
      </c>
      <c r="J9" s="9">
        <f>Выручка!J55</f>
        <v>2612141.2246190626</v>
      </c>
      <c r="K9" s="9">
        <f>Выручка!K55</f>
        <v>2742748.2858500155</v>
      </c>
      <c r="L9" s="9">
        <f>Выручка!L55</f>
        <v>2879885.7001425163</v>
      </c>
    </row>
    <row r="10" spans="1:13" ht="15" customHeight="1" x14ac:dyDescent="0.2">
      <c r="A10" s="3" t="s">
        <v>281</v>
      </c>
      <c r="C10" s="9">
        <f>Выручка!C59</f>
        <v>7739359.487999999</v>
      </c>
      <c r="D10" s="9">
        <f>Выручка!D59</f>
        <v>10933901.651781816</v>
      </c>
      <c r="E10" s="9">
        <f>Выручка!E59</f>
        <v>12530088.5472</v>
      </c>
      <c r="F10" s="9">
        <f>Выручка!F59</f>
        <v>13579771.183776001</v>
      </c>
      <c r="G10" s="9">
        <f>Выручка!G59</f>
        <v>14498240.138634762</v>
      </c>
      <c r="H10" s="9">
        <f>Выручка!H59</f>
        <v>15474606.561019963</v>
      </c>
      <c r="I10" s="9">
        <f>Выручка!I59</f>
        <v>16512364.025297094</v>
      </c>
      <c r="J10" s="9">
        <f>Выручка!J59</f>
        <v>17337982.226561952</v>
      </c>
      <c r="K10" s="9">
        <f>Выручка!K59</f>
        <v>18204881.337890048</v>
      </c>
      <c r="L10" s="9">
        <f>Выручка!L59</f>
        <v>19115125.404784549</v>
      </c>
    </row>
    <row r="11" spans="1:13" ht="15" customHeight="1" x14ac:dyDescent="0.2">
      <c r="A11" s="3" t="s">
        <v>317</v>
      </c>
      <c r="C11" s="9">
        <f>Выручка!C62</f>
        <v>3600000</v>
      </c>
      <c r="D11" s="9">
        <f>Выручка!D62</f>
        <v>3780000</v>
      </c>
      <c r="E11" s="9">
        <f>Выручка!E62</f>
        <v>3969000</v>
      </c>
      <c r="F11" s="9">
        <f>Выручка!F62</f>
        <v>4167450.0000000005</v>
      </c>
      <c r="G11" s="9">
        <f>Выручка!G62</f>
        <v>4375822.5</v>
      </c>
      <c r="H11" s="9">
        <f>Выручка!H62</f>
        <v>4594613.6250000009</v>
      </c>
      <c r="I11" s="9">
        <f>Выручка!I62</f>
        <v>4824344.3062499994</v>
      </c>
      <c r="J11" s="9">
        <f>Выручка!J62</f>
        <v>5065561.5215625009</v>
      </c>
      <c r="K11" s="9">
        <f>Выручка!K62</f>
        <v>5318839.5976406252</v>
      </c>
      <c r="L11" s="9">
        <f>Выручка!L62</f>
        <v>5584781.5775226569</v>
      </c>
    </row>
    <row r="12" spans="1:13" ht="15" customHeight="1" x14ac:dyDescent="0.2">
      <c r="A12" s="3" t="s">
        <v>318</v>
      </c>
      <c r="C12" s="9">
        <f>Выручка!C64</f>
        <v>1980000</v>
      </c>
      <c r="D12" s="9">
        <f>Выручка!D64</f>
        <v>3465000</v>
      </c>
      <c r="E12" s="9">
        <f>Выручка!E64</f>
        <v>4365900</v>
      </c>
      <c r="F12" s="9">
        <f>Выручка!F64</f>
        <v>5348227.5000000009</v>
      </c>
      <c r="G12" s="9">
        <f>Выручка!G64</f>
        <v>5615638.875</v>
      </c>
      <c r="H12" s="9">
        <f>Выручка!H64</f>
        <v>5896420.8187500006</v>
      </c>
      <c r="I12" s="9">
        <f>Выручка!I64</f>
        <v>6191241.8596874997</v>
      </c>
      <c r="J12" s="9">
        <f>Выручка!J64</f>
        <v>6500803.9526718762</v>
      </c>
      <c r="K12" s="9">
        <f>Выручка!K64</f>
        <v>6825844.1503054695</v>
      </c>
      <c r="L12" s="9">
        <f>Выручка!L64</f>
        <v>7167136.3578207428</v>
      </c>
    </row>
    <row r="13" spans="1:13" ht="15" customHeight="1" x14ac:dyDescent="0.2">
      <c r="A13" s="3" t="s">
        <v>319</v>
      </c>
      <c r="C13" s="9">
        <f>Выручка!C66</f>
        <v>1500000</v>
      </c>
      <c r="D13" s="9">
        <f>Выручка!D66</f>
        <v>3150000</v>
      </c>
      <c r="E13" s="9">
        <f>Выручка!E66</f>
        <v>4134375</v>
      </c>
      <c r="F13" s="9">
        <f>Выручка!F66</f>
        <v>4341093.7500000009</v>
      </c>
      <c r="G13" s="9">
        <f>Выручка!G66</f>
        <v>4558148.4375</v>
      </c>
      <c r="H13" s="9">
        <f>Выручка!H66</f>
        <v>4786055.8593750009</v>
      </c>
      <c r="I13" s="9">
        <f>Выручка!I66</f>
        <v>5025358.65234375</v>
      </c>
      <c r="J13" s="9">
        <f>Выручка!J66</f>
        <v>5276626.5849609384</v>
      </c>
      <c r="K13" s="9">
        <f>Выручка!K66</f>
        <v>5540457.9142089849</v>
      </c>
      <c r="L13" s="9">
        <f>Выручка!L66</f>
        <v>5817480.8099194346</v>
      </c>
    </row>
    <row r="14" spans="1:13" ht="15" customHeight="1" x14ac:dyDescent="0.2">
      <c r="A14" s="8" t="s">
        <v>296</v>
      </c>
      <c r="C14" s="23">
        <f t="shared" ref="C14:L14" si="0">SUM(C5:C13)</f>
        <v>110109353.46981817</v>
      </c>
      <c r="D14" s="23">
        <f t="shared" si="0"/>
        <v>157851391.38223636</v>
      </c>
      <c r="E14" s="23">
        <f t="shared" si="0"/>
        <v>183477076.39026818</v>
      </c>
      <c r="F14" s="23">
        <f t="shared" si="0"/>
        <v>199127408.50454649</v>
      </c>
      <c r="G14" s="23">
        <f t="shared" si="0"/>
        <v>212222573.20024812</v>
      </c>
      <c r="H14" s="23">
        <f t="shared" si="0"/>
        <v>226129435.84425855</v>
      </c>
      <c r="I14" s="23">
        <f t="shared" si="0"/>
        <v>240896428.31966949</v>
      </c>
      <c r="J14" s="23">
        <f t="shared" si="0"/>
        <v>252941249.73565298</v>
      </c>
      <c r="K14" s="23">
        <f t="shared" si="0"/>
        <v>265588312.22243562</v>
      </c>
      <c r="L14" s="23">
        <f t="shared" si="0"/>
        <v>278867727.83355737</v>
      </c>
    </row>
    <row r="15" spans="1:13" ht="15" customHeight="1" x14ac:dyDescent="0.2">
      <c r="A15" s="4" t="s">
        <v>320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5" customHeight="1" x14ac:dyDescent="0.2">
      <c r="A16" s="3" t="s">
        <v>321</v>
      </c>
      <c r="C16" s="9">
        <f>Выручка!C74</f>
        <v>-32170687.500799999</v>
      </c>
      <c r="D16" s="9">
        <f>Выручка!D74</f>
        <v>-48549965.521396361</v>
      </c>
      <c r="E16" s="9">
        <f>Выручка!E74</f>
        <v>-57407976.216974549</v>
      </c>
      <c r="F16" s="9">
        <f>Выручка!F74</f>
        <v>-62180400.684933975</v>
      </c>
      <c r="G16" s="9">
        <f>Выручка!G74</f>
        <v>-66429169.845496669</v>
      </c>
      <c r="H16" s="9">
        <f>Выручка!H74</f>
        <v>-70958465.395590723</v>
      </c>
      <c r="I16" s="9">
        <f>Выручка!I74</f>
        <v>-75786422.208741009</v>
      </c>
      <c r="J16" s="9">
        <f>Выручка!J74</f>
        <v>-80002436.111984</v>
      </c>
      <c r="K16" s="9">
        <f>Выручка!K74</f>
        <v>-84454852.277957469</v>
      </c>
      <c r="L16" s="9">
        <f>Выручка!L74</f>
        <v>-89157026.913852066</v>
      </c>
    </row>
    <row r="17" spans="1:13" ht="15" customHeight="1" x14ac:dyDescent="0.2">
      <c r="A17" s="8" t="s">
        <v>322</v>
      </c>
      <c r="C17" s="23">
        <f t="shared" ref="C17:L17" si="1">C14+C16</f>
        <v>77938665.969018176</v>
      </c>
      <c r="D17" s="23">
        <f t="shared" si="1"/>
        <v>109301425.86083999</v>
      </c>
      <c r="E17" s="23">
        <f t="shared" si="1"/>
        <v>126069100.17329362</v>
      </c>
      <c r="F17" s="23">
        <f t="shared" si="1"/>
        <v>136947007.8196125</v>
      </c>
      <c r="G17" s="23">
        <f t="shared" si="1"/>
        <v>145793403.35475147</v>
      </c>
      <c r="H17" s="23">
        <f t="shared" si="1"/>
        <v>155170970.44866782</v>
      </c>
      <c r="I17" s="23">
        <f t="shared" si="1"/>
        <v>165110006.11092848</v>
      </c>
      <c r="J17" s="23">
        <f t="shared" si="1"/>
        <v>172938813.62366897</v>
      </c>
      <c r="K17" s="23">
        <f t="shared" si="1"/>
        <v>181133459.94447815</v>
      </c>
      <c r="L17" s="23">
        <f t="shared" si="1"/>
        <v>189710700.9197053</v>
      </c>
    </row>
    <row r="18" spans="1:13" ht="15" customHeight="1" x14ac:dyDescent="0.2">
      <c r="A18" s="4" t="s">
        <v>323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5" customHeight="1" x14ac:dyDescent="0.2">
      <c r="A19" s="3" t="s">
        <v>324</v>
      </c>
      <c r="C19" s="9">
        <f>-Персонал!C16</f>
        <v>-15600000</v>
      </c>
      <c r="D19" s="9">
        <f>-Персонал!D16</f>
        <v>-16536000</v>
      </c>
      <c r="E19" s="9">
        <f>-Персонал!E16</f>
        <v>-17528160.000000004</v>
      </c>
      <c r="F19" s="9">
        <f>-Персонал!F16</f>
        <v>-18579849.600000005</v>
      </c>
      <c r="G19" s="9">
        <f>-Персонал!G16</f>
        <v>-19694640.576000005</v>
      </c>
      <c r="H19" s="9">
        <f>-Персонал!H16</f>
        <v>-20876319.010560006</v>
      </c>
      <c r="I19" s="9">
        <f>-Персонал!I16</f>
        <v>-22128898.151193608</v>
      </c>
      <c r="J19" s="9">
        <f>-Персонал!J16</f>
        <v>-23456632.040265229</v>
      </c>
      <c r="K19" s="9">
        <f>-Персонал!K16</f>
        <v>-24864029.962681141</v>
      </c>
      <c r="L19" s="9">
        <f>-Персонал!L16</f>
        <v>-26355871.760442007</v>
      </c>
    </row>
    <row r="20" spans="1:13" ht="15" customHeight="1" x14ac:dyDescent="0.2">
      <c r="A20" s="3" t="s">
        <v>325</v>
      </c>
      <c r="C20" s="9">
        <f>-Персонал!C17</f>
        <v>-3312000</v>
      </c>
      <c r="D20" s="9">
        <f>-Персонал!D17</f>
        <v>-3510720</v>
      </c>
      <c r="E20" s="9">
        <f>-Персонал!E17</f>
        <v>-3721363.2000000007</v>
      </c>
      <c r="F20" s="9">
        <f>-Персонал!F17</f>
        <v>-3944644.9920000015</v>
      </c>
      <c r="G20" s="9">
        <f>-Персонал!G17</f>
        <v>-4181323.6915200008</v>
      </c>
      <c r="H20" s="9">
        <f>-Персонал!H17</f>
        <v>-4432203.1130112018</v>
      </c>
      <c r="I20" s="9">
        <f>-Персонал!I17</f>
        <v>-4698135.2997918744</v>
      </c>
      <c r="J20" s="9">
        <f>-Персонал!J17</f>
        <v>-4980023.417779387</v>
      </c>
      <c r="K20" s="9">
        <f>-Персонал!K17</f>
        <v>-5278824.82284615</v>
      </c>
      <c r="L20" s="9">
        <f>-Персонал!L17</f>
        <v>-5595554.3122169198</v>
      </c>
    </row>
    <row r="21" spans="1:13" ht="15" customHeight="1" x14ac:dyDescent="0.2">
      <c r="A21" s="3" t="s">
        <v>326</v>
      </c>
      <c r="C21" s="9">
        <f>-OPEX!C14</f>
        <v>-19272000</v>
      </c>
      <c r="D21" s="9">
        <f>-OPEX!D14</f>
        <v>-20481240</v>
      </c>
      <c r="E21" s="9">
        <f>-OPEX!E14</f>
        <v>-21766738.800000001</v>
      </c>
      <c r="F21" s="9">
        <f>-OPEX!F14</f>
        <v>-23133331.236000005</v>
      </c>
      <c r="G21" s="9">
        <f>-OPEX!G14</f>
        <v>-24586160.385720003</v>
      </c>
      <c r="H21" s="9">
        <f>-OPEX!H14</f>
        <v>-26130697.333712406</v>
      </c>
      <c r="I21" s="9">
        <f>-OPEX!I14</f>
        <v>-27772762.211323798</v>
      </c>
      <c r="J21" s="9">
        <f>-OPEX!J14</f>
        <v>-29518546.594223082</v>
      </c>
      <c r="K21" s="9">
        <f>-OPEX!K14</f>
        <v>-31374637.345611699</v>
      </c>
      <c r="L21" s="9">
        <f>-OPEX!L14</f>
        <v>-33348041.998985104</v>
      </c>
    </row>
    <row r="22" spans="1:13" ht="15" customHeight="1" x14ac:dyDescent="0.2">
      <c r="A22" s="3" t="s">
        <v>327</v>
      </c>
      <c r="C22" s="25">
        <f>-(Выручка!C59+Выручка!C62+Выручка!C64)*Допущения!$B$33</f>
        <v>-665967.97439999995</v>
      </c>
      <c r="D22" s="25">
        <f>-(Выручка!D59+Выручка!D62+Выручка!D64)*Допущения!$B$33</f>
        <v>-908945.0825890908</v>
      </c>
      <c r="E22" s="25">
        <f>-(Выручка!E59+Выручка!E62+Выручка!E64)*Допущения!$B$33</f>
        <v>-1043249.4273600001</v>
      </c>
      <c r="F22" s="25">
        <f>-(Выручка!F59+Выручка!F62+Выручка!F64)*Допущения!$B$33</f>
        <v>-1154772.4341888002</v>
      </c>
      <c r="G22" s="25">
        <f>-(Выручка!G59+Выручка!G62+Выручка!G64)*Допущения!$B$33</f>
        <v>-1224485.0756817383</v>
      </c>
      <c r="H22" s="25">
        <f>-(Выручка!H59+Выручка!H62+Выручка!H64)*Допущения!$B$33</f>
        <v>-1298282.0502384985</v>
      </c>
      <c r="I22" s="25">
        <f>-(Выручка!I59+Выручка!I62+Выручка!I64)*Допущения!$B$33</f>
        <v>-1376397.5095617296</v>
      </c>
      <c r="J22" s="25">
        <f>-(Выручка!J59+Выручка!J62+Выручка!J64)*Допущения!$B$33</f>
        <v>-1445217.3850398166</v>
      </c>
      <c r="K22" s="25">
        <f>-(Выручка!K59+Выручка!K62+Выручка!K64)*Допущения!$B$33</f>
        <v>-1517478.2542918073</v>
      </c>
      <c r="L22" s="25">
        <f>-(Выручка!L59+Выручка!L62+Выручка!L64)*Допущения!$B$33</f>
        <v>-1593352.1670063976</v>
      </c>
    </row>
    <row r="23" spans="1:13" ht="15" customHeight="1" x14ac:dyDescent="0.2">
      <c r="A23" s="3" t="s">
        <v>328</v>
      </c>
      <c r="C23" s="25">
        <f>-C14*Допущения!$B$31*Допущения!$B$32</f>
        <v>-990984.18122836365</v>
      </c>
      <c r="D23" s="25">
        <f>-D14*Допущения!$B$31*Допущения!$B$32</f>
        <v>-1420662.5224401273</v>
      </c>
      <c r="E23" s="25">
        <f>-E14*Допущения!$B$31*Допущения!$B$32</f>
        <v>-1651293.6875124138</v>
      </c>
      <c r="F23" s="25">
        <f>-F14*Допущения!$B$31*Допущения!$B$32</f>
        <v>-1792146.6765409186</v>
      </c>
      <c r="G23" s="25">
        <f>-G14*Допущения!$B$31*Допущения!$B$32</f>
        <v>-1910003.1588022332</v>
      </c>
      <c r="H23" s="25">
        <f>-H14*Допущения!$B$31*Допущения!$B$32</f>
        <v>-2035164.922598327</v>
      </c>
      <c r="I23" s="25">
        <f>-I14*Допущения!$B$31*Допущения!$B$32</f>
        <v>-2168067.8548770254</v>
      </c>
      <c r="J23" s="25">
        <f>-J14*Допущения!$B$31*Допущения!$B$32</f>
        <v>-2276471.2476208769</v>
      </c>
      <c r="K23" s="25">
        <f>-K14*Допущения!$B$31*Допущения!$B$32</f>
        <v>-2390294.8100019209</v>
      </c>
      <c r="L23" s="25">
        <f>-L14*Допущения!$B$31*Допущения!$B$32</f>
        <v>-2509809.5505020162</v>
      </c>
    </row>
    <row r="24" spans="1:13" ht="15" customHeight="1" x14ac:dyDescent="0.2">
      <c r="A24" s="8" t="s">
        <v>329</v>
      </c>
      <c r="C24" s="27">
        <f t="shared" ref="C24:L24" si="2">C17+C19+C20+C21+C22+C23</f>
        <v>38097713.813389815</v>
      </c>
      <c r="D24" s="27">
        <f t="shared" si="2"/>
        <v>66443858.255810775</v>
      </c>
      <c r="E24" s="27">
        <f t="shared" si="2"/>
        <v>80358295.058421209</v>
      </c>
      <c r="F24" s="27">
        <f t="shared" si="2"/>
        <v>88342262.88088277</v>
      </c>
      <c r="G24" s="27">
        <f t="shared" si="2"/>
        <v>94196790.4670275</v>
      </c>
      <c r="H24" s="27">
        <f t="shared" si="2"/>
        <v>100398304.01854737</v>
      </c>
      <c r="I24" s="27">
        <f t="shared" si="2"/>
        <v>106965745.08418043</v>
      </c>
      <c r="J24" s="27">
        <f t="shared" si="2"/>
        <v>111261922.93874057</v>
      </c>
      <c r="K24" s="27">
        <f t="shared" si="2"/>
        <v>115708194.74904545</v>
      </c>
      <c r="L24" s="27">
        <f t="shared" si="2"/>
        <v>120308071.13055284</v>
      </c>
    </row>
    <row r="25" spans="1:13" ht="15" customHeight="1" x14ac:dyDescent="0.2">
      <c r="A25" s="3" t="s">
        <v>330</v>
      </c>
      <c r="C25" s="29">
        <f t="shared" ref="C25:L25" si="3">C24/C14</f>
        <v>0.34599888758617309</v>
      </c>
      <c r="D25" s="29">
        <f t="shared" si="3"/>
        <v>0.42092665559670173</v>
      </c>
      <c r="E25" s="29">
        <f t="shared" si="3"/>
        <v>0.43797457774776</v>
      </c>
      <c r="F25" s="29">
        <f t="shared" si="3"/>
        <v>0.44364692708219389</v>
      </c>
      <c r="G25" s="29">
        <f t="shared" si="3"/>
        <v>0.44385848803249439</v>
      </c>
      <c r="H25" s="29">
        <f t="shared" si="3"/>
        <v>0.44398600139653821</v>
      </c>
      <c r="I25" s="29">
        <f t="shared" si="3"/>
        <v>0.44403209225766072</v>
      </c>
      <c r="J25" s="29">
        <f t="shared" si="3"/>
        <v>0.43987259118478927</v>
      </c>
      <c r="K25" s="29">
        <f t="shared" si="3"/>
        <v>0.43566749523276266</v>
      </c>
      <c r="L25" s="29">
        <f t="shared" si="3"/>
        <v>0.43141625624876501</v>
      </c>
    </row>
    <row r="27" spans="1:13" ht="15" customHeight="1" x14ac:dyDescent="0.2">
      <c r="A27" s="4" t="s">
        <v>331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ht="15" customHeight="1" x14ac:dyDescent="0.2">
      <c r="A28" s="3" t="s">
        <v>332</v>
      </c>
      <c r="C28" s="25">
        <f t="shared" ref="C28:L28" si="4">C14</f>
        <v>110109353.46981817</v>
      </c>
      <c r="D28" s="25">
        <f t="shared" si="4"/>
        <v>157851391.38223636</v>
      </c>
      <c r="E28" s="25">
        <f t="shared" si="4"/>
        <v>183477076.39026818</v>
      </c>
      <c r="F28" s="25">
        <f t="shared" si="4"/>
        <v>199127408.50454649</v>
      </c>
      <c r="G28" s="25">
        <f t="shared" si="4"/>
        <v>212222573.20024812</v>
      </c>
      <c r="H28" s="25">
        <f t="shared" si="4"/>
        <v>226129435.84425855</v>
      </c>
      <c r="I28" s="25">
        <f t="shared" si="4"/>
        <v>240896428.31966949</v>
      </c>
      <c r="J28" s="25">
        <f t="shared" si="4"/>
        <v>252941249.73565298</v>
      </c>
      <c r="K28" s="25">
        <f t="shared" si="4"/>
        <v>265588312.22243562</v>
      </c>
      <c r="L28" s="25">
        <f t="shared" si="4"/>
        <v>278867727.83355737</v>
      </c>
    </row>
    <row r="29" spans="1:13" ht="15" customHeight="1" x14ac:dyDescent="0.2">
      <c r="A29" s="3" t="s">
        <v>333</v>
      </c>
      <c r="C29" s="25">
        <f>-(C16+C19+C20+C21+C22+C23)+OPEX!C16+CAPEX!$B$24</f>
        <v>317646839.6564284</v>
      </c>
      <c r="D29" s="25">
        <f>-(D16+D19+D20+D21+D22+D23)+OPEX!D16</f>
        <v>95092061.126425579</v>
      </c>
      <c r="E29" s="25">
        <f>-(E16+E19+E20+E21+E22+E23)+OPEX!E16</f>
        <v>106803309.33184697</v>
      </c>
      <c r="F29" s="25">
        <f>-(F16+F19+F20+F21+F22+F23)+OPEX!F16</f>
        <v>114469673.62366369</v>
      </c>
      <c r="G29" s="25">
        <f>-(G16+G19+G20+G21+G22+G23)+OPEX!G16</f>
        <v>121710310.73322064</v>
      </c>
      <c r="H29" s="25">
        <f>-(H16+H19+H20+H21+H22+H23)+OPEX!H16</f>
        <v>129415659.82571118</v>
      </c>
      <c r="I29" s="25">
        <f>-(I16+I19+I20+I21+I22+I23)+OPEX!I16</f>
        <v>137615211.23548904</v>
      </c>
      <c r="J29" s="25">
        <f>-(J16+J19+J20+J21+J22+J23)+OPEX!J16</f>
        <v>145363854.79691237</v>
      </c>
      <c r="K29" s="25">
        <f>-(K16+K19+K20+K21+K22+K23)+OPEX!K16</f>
        <v>153564645.47339016</v>
      </c>
      <c r="L29" s="25">
        <f>-(L16+L19+L20+L21+L22+L23)+OPEX!L16</f>
        <v>162244184.70300451</v>
      </c>
      <c r="M29" s="7" t="s">
        <v>334</v>
      </c>
    </row>
    <row r="30" spans="1:13" ht="15" customHeight="1" x14ac:dyDescent="0.2">
      <c r="A30" s="3" t="s">
        <v>335</v>
      </c>
      <c r="C30" s="25">
        <f t="shared" ref="C30:L30" si="5">C28-C29</f>
        <v>-207537486.18661022</v>
      </c>
      <c r="D30" s="25">
        <f t="shared" si="5"/>
        <v>62759330.255810782</v>
      </c>
      <c r="E30" s="25">
        <f t="shared" si="5"/>
        <v>76673767.058421209</v>
      </c>
      <c r="F30" s="25">
        <f t="shared" si="5"/>
        <v>84657734.8808828</v>
      </c>
      <c r="G30" s="25">
        <f t="shared" si="5"/>
        <v>90512262.467027485</v>
      </c>
      <c r="H30" s="25">
        <f t="shared" si="5"/>
        <v>96713776.018547371</v>
      </c>
      <c r="I30" s="25">
        <f t="shared" si="5"/>
        <v>103281217.08418044</v>
      </c>
      <c r="J30" s="25">
        <f t="shared" si="5"/>
        <v>107577394.93874061</v>
      </c>
      <c r="K30" s="25">
        <f t="shared" si="5"/>
        <v>112023666.74904546</v>
      </c>
      <c r="L30" s="25">
        <f t="shared" si="5"/>
        <v>116623543.13055286</v>
      </c>
    </row>
    <row r="31" spans="1:13" ht="15" customHeight="1" x14ac:dyDescent="0.2">
      <c r="A31" s="3" t="s">
        <v>336</v>
      </c>
      <c r="C31" s="25">
        <f>0</f>
        <v>0</v>
      </c>
      <c r="D31" s="25">
        <f t="shared" ref="D31:L31" si="6">C34</f>
        <v>207537486.18661022</v>
      </c>
      <c r="E31" s="25">
        <f t="shared" si="6"/>
        <v>144778155.93079942</v>
      </c>
      <c r="F31" s="25">
        <f t="shared" si="6"/>
        <v>68104388.872378215</v>
      </c>
      <c r="G31" s="25">
        <f t="shared" si="6"/>
        <v>0</v>
      </c>
      <c r="H31" s="25">
        <f t="shared" si="6"/>
        <v>0</v>
      </c>
      <c r="I31" s="25">
        <f t="shared" si="6"/>
        <v>0</v>
      </c>
      <c r="J31" s="25">
        <f t="shared" si="6"/>
        <v>0</v>
      </c>
      <c r="K31" s="25">
        <f t="shared" si="6"/>
        <v>0</v>
      </c>
      <c r="L31" s="25">
        <f t="shared" si="6"/>
        <v>0</v>
      </c>
    </row>
    <row r="32" spans="1:13" ht="15" customHeight="1" x14ac:dyDescent="0.2">
      <c r="A32" s="3" t="s">
        <v>337</v>
      </c>
      <c r="C32" s="25">
        <f t="shared" ref="C32:L32" si="7">IF(C30&gt;0,MIN(C31,C30),0)</f>
        <v>0</v>
      </c>
      <c r="D32" s="25">
        <f t="shared" si="7"/>
        <v>62759330.255810782</v>
      </c>
      <c r="E32" s="25">
        <f t="shared" si="7"/>
        <v>76673767.058421209</v>
      </c>
      <c r="F32" s="25">
        <f t="shared" si="7"/>
        <v>68104388.872378215</v>
      </c>
      <c r="G32" s="25">
        <f t="shared" si="7"/>
        <v>0</v>
      </c>
      <c r="H32" s="25">
        <f t="shared" si="7"/>
        <v>0</v>
      </c>
      <c r="I32" s="25">
        <f t="shared" si="7"/>
        <v>0</v>
      </c>
      <c r="J32" s="25">
        <f t="shared" si="7"/>
        <v>0</v>
      </c>
      <c r="K32" s="25">
        <f t="shared" si="7"/>
        <v>0</v>
      </c>
      <c r="L32" s="25">
        <f t="shared" si="7"/>
        <v>0</v>
      </c>
    </row>
    <row r="33" spans="1:12" ht="15" customHeight="1" x14ac:dyDescent="0.2">
      <c r="A33" s="8" t="s">
        <v>338</v>
      </c>
      <c r="C33" s="23">
        <f>IF(C30&gt;0,MAX(Допущения!$B$28*(C30-C32),Допущения!$B$29*C28),Допущения!$B$29*C28)</f>
        <v>1101093.5346981818</v>
      </c>
      <c r="D33" s="23">
        <f>IF(D30&gt;0,MAX(Допущения!$B$28*(D30-D32),Допущения!$B$29*D28),Допущения!$B$29*D28)</f>
        <v>1578513.9138223636</v>
      </c>
      <c r="E33" s="23">
        <f>IF(E30&gt;0,MAX(Допущения!$B$28*(E30-E32),Допущения!$B$29*E28),Допущения!$B$29*E28)</f>
        <v>1834770.7639026819</v>
      </c>
      <c r="F33" s="23">
        <f>IF(F30&gt;0,MAX(Допущения!$B$28*(F30-F32),Допущения!$B$29*F28),Допущения!$B$29*F28)</f>
        <v>1991274.085045465</v>
      </c>
      <c r="G33" s="23">
        <f>IF(G30&gt;0,MAX(Допущения!$B$28*(G30-G32),Допущения!$B$29*G28),Допущения!$B$29*G28)</f>
        <v>6335858.3726919247</v>
      </c>
      <c r="H33" s="23">
        <f>IF(H30&gt;0,MAX(Допущения!$B$28*(H30-H32),Допущения!$B$29*H28),Допущения!$B$29*H28)</f>
        <v>6769964.3212983171</v>
      </c>
      <c r="I33" s="23">
        <f>IF(I30&gt;0,MAX(Допущения!$B$28*(I30-I32),Допущения!$B$29*I28),Допущения!$B$29*I28)</f>
        <v>7229685.195892632</v>
      </c>
      <c r="J33" s="23">
        <f>IF(J30&gt;0,MAX(Допущения!$B$28*(J30-J32),Допущения!$B$29*J28),Допущения!$B$29*J28)</f>
        <v>7530417.6457118439</v>
      </c>
      <c r="K33" s="23">
        <f>IF(K30&gt;0,MAX(Допущения!$B$28*(K30-K32),Допущения!$B$29*K28),Допущения!$B$29*K28)</f>
        <v>7841656.6724331826</v>
      </c>
      <c r="L33" s="23">
        <f>IF(L30&gt;0,MAX(Допущения!$B$28*(L30-L32),Допущения!$B$29*L28),Допущения!$B$29*L28)</f>
        <v>8163648.0191387013</v>
      </c>
    </row>
    <row r="34" spans="1:12" ht="15" customHeight="1" x14ac:dyDescent="0.2">
      <c r="A34" s="3" t="s">
        <v>339</v>
      </c>
      <c r="C34" s="25">
        <f t="shared" ref="C34:L34" si="8">C31-C32+IF(C30&lt;0,-C30,0)</f>
        <v>207537486.18661022</v>
      </c>
      <c r="D34" s="25">
        <f t="shared" si="8"/>
        <v>144778155.93079942</v>
      </c>
      <c r="E34" s="25">
        <f t="shared" si="8"/>
        <v>68104388.872378215</v>
      </c>
      <c r="F34" s="25">
        <f t="shared" si="8"/>
        <v>0</v>
      </c>
      <c r="G34" s="25">
        <f t="shared" si="8"/>
        <v>0</v>
      </c>
      <c r="H34" s="25">
        <f t="shared" si="8"/>
        <v>0</v>
      </c>
      <c r="I34" s="25">
        <f t="shared" si="8"/>
        <v>0</v>
      </c>
      <c r="J34" s="25">
        <f t="shared" si="8"/>
        <v>0</v>
      </c>
      <c r="K34" s="25">
        <f t="shared" si="8"/>
        <v>0</v>
      </c>
      <c r="L34" s="25">
        <f t="shared" si="8"/>
        <v>0</v>
      </c>
    </row>
    <row r="35" spans="1:12" ht="15" customHeight="1" x14ac:dyDescent="0.2">
      <c r="A35" s="8" t="s">
        <v>340</v>
      </c>
      <c r="C35" s="23">
        <f t="shared" ref="C35:L35" si="9">C24-C33</f>
        <v>36996620.278691635</v>
      </c>
      <c r="D35" s="23">
        <f t="shared" si="9"/>
        <v>64865344.341988415</v>
      </c>
      <c r="E35" s="23">
        <f t="shared" si="9"/>
        <v>78523524.29451853</v>
      </c>
      <c r="F35" s="23">
        <f t="shared" si="9"/>
        <v>86350988.795837298</v>
      </c>
      <c r="G35" s="23">
        <f t="shared" si="9"/>
        <v>87860932.094335571</v>
      </c>
      <c r="H35" s="23">
        <f t="shared" si="9"/>
        <v>93628339.697249055</v>
      </c>
      <c r="I35" s="23">
        <f t="shared" si="9"/>
        <v>99736059.888287798</v>
      </c>
      <c r="J35" s="23">
        <f t="shared" si="9"/>
        <v>103731505.29302873</v>
      </c>
      <c r="K35" s="23">
        <f t="shared" si="9"/>
        <v>107866538.07661226</v>
      </c>
      <c r="L35" s="23">
        <f t="shared" si="9"/>
        <v>112144423.11141413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1"/>
  <sheetViews>
    <sheetView zoomScaleNormal="100" workbookViewId="0"/>
  </sheetViews>
  <sheetFormatPr baseColWidth="10" defaultColWidth="8.6640625" defaultRowHeight="15" x14ac:dyDescent="0.2"/>
  <cols>
    <col min="1" max="1" width="46" customWidth="1"/>
    <col min="2" max="2" width="14" customWidth="1"/>
    <col min="3" max="12" width="12.5" customWidth="1"/>
  </cols>
  <sheetData>
    <row r="1" spans="1:13" ht="15.75" customHeight="1" x14ac:dyDescent="0.2">
      <c r="A1" s="1" t="s">
        <v>341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15" customHeight="1" x14ac:dyDescent="0.2">
      <c r="A3" s="8" t="s">
        <v>71</v>
      </c>
      <c r="B3" s="8" t="s">
        <v>342</v>
      </c>
      <c r="C3" s="8" t="s">
        <v>72</v>
      </c>
      <c r="D3" s="8" t="s">
        <v>73</v>
      </c>
      <c r="E3" s="8" t="s">
        <v>74</v>
      </c>
      <c r="F3" s="8" t="s">
        <v>75</v>
      </c>
      <c r="G3" s="8" t="s">
        <v>76</v>
      </c>
      <c r="H3" s="8" t="s">
        <v>77</v>
      </c>
      <c r="I3" s="8" t="s">
        <v>78</v>
      </c>
      <c r="J3" s="8" t="s">
        <v>79</v>
      </c>
      <c r="K3" s="8" t="s">
        <v>80</v>
      </c>
      <c r="L3" s="8" t="s">
        <v>81</v>
      </c>
    </row>
    <row r="4" spans="1:13" ht="15" customHeight="1" x14ac:dyDescent="0.2">
      <c r="A4" s="3" t="s">
        <v>343</v>
      </c>
      <c r="B4" s="25">
        <f>-CAPEX!$B$26</f>
        <v>-251635200.00000003</v>
      </c>
    </row>
    <row r="5" spans="1:13" ht="15" customHeight="1" x14ac:dyDescent="0.2">
      <c r="A5" s="3" t="s">
        <v>329</v>
      </c>
      <c r="C5" s="9">
        <f>PL!C24</f>
        <v>38097713.813389815</v>
      </c>
      <c r="D5" s="9">
        <f>PL!D24</f>
        <v>66443858.255810775</v>
      </c>
      <c r="E5" s="9">
        <f>PL!E24</f>
        <v>80358295.058421209</v>
      </c>
      <c r="F5" s="9">
        <f>PL!F24</f>
        <v>88342262.88088277</v>
      </c>
      <c r="G5" s="9">
        <f>PL!G24</f>
        <v>94196790.4670275</v>
      </c>
      <c r="H5" s="9">
        <f>PL!H24</f>
        <v>100398304.01854737</v>
      </c>
      <c r="I5" s="9">
        <f>PL!I24</f>
        <v>106965745.08418043</v>
      </c>
      <c r="J5" s="9">
        <f>PL!J24</f>
        <v>111261922.93874057</v>
      </c>
      <c r="K5" s="9">
        <f>PL!K24</f>
        <v>115708194.74904545</v>
      </c>
      <c r="L5" s="9">
        <f>PL!L24</f>
        <v>120308071.13055284</v>
      </c>
    </row>
    <row r="6" spans="1:13" ht="15" customHeight="1" x14ac:dyDescent="0.2">
      <c r="A6" s="3" t="s">
        <v>344</v>
      </c>
      <c r="C6" s="9">
        <f>-PL!C33</f>
        <v>-1101093.5346981818</v>
      </c>
      <c r="D6" s="9">
        <f>-PL!D33</f>
        <v>-1578513.9138223636</v>
      </c>
      <c r="E6" s="9">
        <f>-PL!E33</f>
        <v>-1834770.7639026819</v>
      </c>
      <c r="F6" s="9">
        <f>-PL!F33</f>
        <v>-1991274.085045465</v>
      </c>
      <c r="G6" s="9">
        <f>-PL!G33</f>
        <v>-6335858.3726919247</v>
      </c>
      <c r="H6" s="9">
        <f>-PL!H33</f>
        <v>-6769964.3212983171</v>
      </c>
      <c r="I6" s="9">
        <f>-PL!I33</f>
        <v>-7229685.195892632</v>
      </c>
      <c r="J6" s="9">
        <f>-PL!J33</f>
        <v>-7530417.6457118439</v>
      </c>
      <c r="K6" s="9">
        <f>-PL!K33</f>
        <v>-7841656.6724331826</v>
      </c>
      <c r="L6" s="9">
        <f>-PL!L33</f>
        <v>-8163648.0191387013</v>
      </c>
    </row>
    <row r="7" spans="1:13" ht="15" customHeight="1" x14ac:dyDescent="0.2">
      <c r="A7" s="3" t="s">
        <v>345</v>
      </c>
      <c r="C7" s="9">
        <f>-OPEX!C16</f>
        <v>0</v>
      </c>
      <c r="D7" s="9">
        <f>-OPEX!D16</f>
        <v>-3684528.0000000005</v>
      </c>
      <c r="E7" s="9">
        <f>-OPEX!E16</f>
        <v>-3684528.0000000005</v>
      </c>
      <c r="F7" s="9">
        <f>-OPEX!F16</f>
        <v>-3684528.0000000005</v>
      </c>
      <c r="G7" s="9">
        <f>-OPEX!G16</f>
        <v>-3684528.0000000005</v>
      </c>
      <c r="H7" s="9">
        <f>-OPEX!H16</f>
        <v>-3684528.0000000005</v>
      </c>
      <c r="I7" s="9">
        <f>-OPEX!I16</f>
        <v>-3684528.0000000005</v>
      </c>
      <c r="J7" s="9">
        <f>-OPEX!J16</f>
        <v>-3684528.0000000005</v>
      </c>
      <c r="K7" s="9">
        <f>-OPEX!K16</f>
        <v>-3684528.0000000005</v>
      </c>
      <c r="L7" s="9">
        <f>-OPEX!L16</f>
        <v>-3684528.0000000005</v>
      </c>
    </row>
    <row r="8" spans="1:13" ht="15" customHeight="1" x14ac:dyDescent="0.2">
      <c r="A8" s="8" t="s">
        <v>346</v>
      </c>
      <c r="B8" s="23">
        <f>B4</f>
        <v>-251635200.00000003</v>
      </c>
      <c r="C8" s="23">
        <f t="shared" ref="C8:L8" si="0">C5+C6+C7</f>
        <v>36996620.278691635</v>
      </c>
      <c r="D8" s="23">
        <f t="shared" si="0"/>
        <v>61180816.341988415</v>
      </c>
      <c r="E8" s="23">
        <f t="shared" si="0"/>
        <v>74838996.29451853</v>
      </c>
      <c r="F8" s="23">
        <f t="shared" si="0"/>
        <v>82666460.795837298</v>
      </c>
      <c r="G8" s="23">
        <f t="shared" si="0"/>
        <v>84176404.094335571</v>
      </c>
      <c r="H8" s="23">
        <f t="shared" si="0"/>
        <v>89943811.697249055</v>
      </c>
      <c r="I8" s="23">
        <f t="shared" si="0"/>
        <v>96051531.888287798</v>
      </c>
      <c r="J8" s="23">
        <f t="shared" si="0"/>
        <v>100046977.29302873</v>
      </c>
      <c r="K8" s="23">
        <f t="shared" si="0"/>
        <v>104182010.07661226</v>
      </c>
      <c r="L8" s="23">
        <f t="shared" si="0"/>
        <v>108459895.11141413</v>
      </c>
    </row>
    <row r="9" spans="1:13" ht="15" customHeight="1" x14ac:dyDescent="0.2">
      <c r="A9" s="8" t="s">
        <v>347</v>
      </c>
      <c r="B9" s="23">
        <f>B8</f>
        <v>-251635200.00000003</v>
      </c>
      <c r="C9" s="23">
        <f t="shared" ref="C9:L9" si="1">B9+C8</f>
        <v>-214638579.72130841</v>
      </c>
      <c r="D9" s="23">
        <f t="shared" si="1"/>
        <v>-153457763.37932</v>
      </c>
      <c r="E9" s="23">
        <f t="shared" si="1"/>
        <v>-78618767.084801465</v>
      </c>
      <c r="F9" s="23">
        <f t="shared" si="1"/>
        <v>4047693.7110358328</v>
      </c>
      <c r="G9" s="23">
        <f t="shared" si="1"/>
        <v>88224097.805371404</v>
      </c>
      <c r="H9" s="23">
        <f t="shared" si="1"/>
        <v>178167909.50262046</v>
      </c>
      <c r="I9" s="23">
        <f t="shared" si="1"/>
        <v>274219441.39090824</v>
      </c>
      <c r="J9" s="23">
        <f t="shared" si="1"/>
        <v>374266418.68393695</v>
      </c>
      <c r="K9" s="23">
        <f t="shared" si="1"/>
        <v>478448428.76054919</v>
      </c>
      <c r="L9" s="23">
        <f t="shared" si="1"/>
        <v>586908323.87196326</v>
      </c>
    </row>
    <row r="10" spans="1:13" ht="15" customHeight="1" x14ac:dyDescent="0.2">
      <c r="A10" s="3" t="s">
        <v>348</v>
      </c>
      <c r="B10" s="19">
        <v>1</v>
      </c>
      <c r="C10" s="19">
        <f>1/(1+Допущения!$B$34)^1</f>
        <v>0.84745762711864414</v>
      </c>
      <c r="D10" s="19">
        <f>1/(1+Допущения!$B$34)^2</f>
        <v>0.71818442976156283</v>
      </c>
      <c r="E10" s="19">
        <f>1/(1+Допущения!$B$34)^3</f>
        <v>0.6086308726792905</v>
      </c>
      <c r="F10" s="19">
        <f>1/(1+Допущения!$B$34)^4</f>
        <v>0.51578887515194116</v>
      </c>
      <c r="G10" s="19">
        <f>1/(1+Допущения!$B$34)^5</f>
        <v>0.43710921623045873</v>
      </c>
      <c r="H10" s="19">
        <f>1/(1+Допущения!$B$34)^6</f>
        <v>0.37043153917835481</v>
      </c>
      <c r="I10" s="19">
        <f>1/(1+Допущения!$B$34)^7</f>
        <v>0.31392503320199561</v>
      </c>
      <c r="J10" s="19">
        <f>1/(1+Допущения!$B$34)^8</f>
        <v>0.26603816373050476</v>
      </c>
      <c r="K10" s="19">
        <f>1/(1+Допущения!$B$34)^9</f>
        <v>0.22545607095805489</v>
      </c>
      <c r="L10" s="19">
        <f>1/(1+Допущения!$B$34)^10</f>
        <v>0.19106446691360587</v>
      </c>
    </row>
    <row r="12" spans="1:13" ht="15" customHeight="1" x14ac:dyDescent="0.2">
      <c r="A12" s="4" t="s">
        <v>349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5" customHeight="1" x14ac:dyDescent="0.2">
      <c r="A13" s="3" t="s">
        <v>350</v>
      </c>
      <c r="B13" s="25">
        <f>Допущения!$B$35*L5</f>
        <v>601540355.6527642</v>
      </c>
    </row>
    <row r="14" spans="1:13" ht="15" customHeight="1" x14ac:dyDescent="0.2">
      <c r="A14" s="3" t="s">
        <v>351</v>
      </c>
      <c r="B14" s="25">
        <f t="shared" ref="B14:K14" si="2">B8</f>
        <v>-251635200.00000003</v>
      </c>
      <c r="C14" s="25">
        <f t="shared" si="2"/>
        <v>36996620.278691635</v>
      </c>
      <c r="D14" s="25">
        <f t="shared" si="2"/>
        <v>61180816.341988415</v>
      </c>
      <c r="E14" s="25">
        <f t="shared" si="2"/>
        <v>74838996.29451853</v>
      </c>
      <c r="F14" s="25">
        <f t="shared" si="2"/>
        <v>82666460.795837298</v>
      </c>
      <c r="G14" s="25">
        <f t="shared" si="2"/>
        <v>84176404.094335571</v>
      </c>
      <c r="H14" s="25">
        <f t="shared" si="2"/>
        <v>89943811.697249055</v>
      </c>
      <c r="I14" s="25">
        <f t="shared" si="2"/>
        <v>96051531.888287798</v>
      </c>
      <c r="J14" s="25">
        <f t="shared" si="2"/>
        <v>100046977.29302873</v>
      </c>
      <c r="K14" s="25">
        <f t="shared" si="2"/>
        <v>104182010.07661226</v>
      </c>
      <c r="L14" s="25">
        <f>L8+B13</f>
        <v>710000250.76417828</v>
      </c>
    </row>
    <row r="15" spans="1:13" ht="15" customHeight="1" x14ac:dyDescent="0.2">
      <c r="A15" s="8" t="s">
        <v>352</v>
      </c>
      <c r="B15" s="27">
        <f>B8+SUMPRODUCT(C8:L8,C10:L10)+B13*L10</f>
        <v>197870629.34704065</v>
      </c>
    </row>
    <row r="16" spans="1:13" ht="15" customHeight="1" x14ac:dyDescent="0.2">
      <c r="A16" s="3" t="s">
        <v>353</v>
      </c>
      <c r="B16" s="25">
        <f>B15-B13*L10</f>
        <v>82937641.967224374</v>
      </c>
    </row>
    <row r="17" spans="1:2" ht="15" customHeight="1" x14ac:dyDescent="0.2">
      <c r="A17" s="3" t="s">
        <v>354</v>
      </c>
      <c r="B17" s="29">
        <f>IRR(B14:L14)</f>
        <v>0.30610934273841894</v>
      </c>
    </row>
    <row r="18" spans="1:2" ht="15" customHeight="1" x14ac:dyDescent="0.2">
      <c r="A18" s="3" t="s">
        <v>355</v>
      </c>
      <c r="B18" s="29">
        <f>IRR(B8:L8)</f>
        <v>0.25329152716395975</v>
      </c>
    </row>
    <row r="19" spans="1:2" ht="15" customHeight="1" x14ac:dyDescent="0.2">
      <c r="A19" s="8" t="s">
        <v>21</v>
      </c>
      <c r="B19" s="33">
        <f>IFERROR(SUMPRODUCT(--(C9:L9&lt;0))+(-INDEX(C9:L9,SUMPRODUCT(--(C9:L9&lt;0))))/INDEX(C8:L8,SUMPRODUCT(--(C9:L9&lt;0))+1),"&gt;10")</f>
        <v>3.9510358412339377</v>
      </c>
    </row>
    <row r="20" spans="1:2" ht="15" customHeight="1" x14ac:dyDescent="0.2">
      <c r="A20" s="8" t="s">
        <v>356</v>
      </c>
      <c r="B20" s="33">
        <f>IFERROR(B19+1,"&gt;10")</f>
        <v>4.9510358412339377</v>
      </c>
    </row>
    <row r="21" spans="1:2" ht="15" customHeight="1" x14ac:dyDescent="0.2">
      <c r="A21" s="3" t="s">
        <v>357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0"/>
  <sheetViews>
    <sheetView tabSelected="1" zoomScaleNormal="100" workbookViewId="0">
      <selection activeCell="A13" sqref="A13"/>
    </sheetView>
  </sheetViews>
  <sheetFormatPr baseColWidth="10" defaultColWidth="8.6640625" defaultRowHeight="15" x14ac:dyDescent="0.2"/>
  <cols>
    <col min="1" max="1" width="40" customWidth="1"/>
    <col min="2" max="4" width="16" customWidth="1"/>
    <col min="5" max="13" width="11" customWidth="1"/>
  </cols>
  <sheetData>
    <row r="1" spans="1:13" ht="15.75" customHeight="1" x14ac:dyDescent="0.2">
      <c r="A1" s="1" t="s">
        <v>358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15" customHeight="1" x14ac:dyDescent="0.2">
      <c r="A3" s="34" t="s">
        <v>359</v>
      </c>
      <c r="B3" s="34" t="s">
        <v>12</v>
      </c>
      <c r="C3" s="34" t="s">
        <v>13</v>
      </c>
      <c r="D3" s="34" t="s">
        <v>14</v>
      </c>
    </row>
    <row r="4" spans="1:13" ht="15" customHeight="1" x14ac:dyDescent="0.2">
      <c r="A4" s="3" t="s">
        <v>360</v>
      </c>
      <c r="B4" s="10">
        <v>132.614919348987</v>
      </c>
      <c r="C4" s="10">
        <v>110.109353469818</v>
      </c>
      <c r="D4" s="10">
        <v>83.990116532334596</v>
      </c>
    </row>
    <row r="5" spans="1:13" ht="15" customHeight="1" x14ac:dyDescent="0.2">
      <c r="A5" s="3" t="s">
        <v>15</v>
      </c>
      <c r="B5" s="10">
        <v>217.26169481162</v>
      </c>
      <c r="C5" s="10">
        <v>183.477076390268</v>
      </c>
      <c r="D5" s="10">
        <v>139.96077046568001</v>
      </c>
    </row>
    <row r="6" spans="1:13" ht="15" customHeight="1" x14ac:dyDescent="0.2">
      <c r="A6" s="3" t="s">
        <v>361</v>
      </c>
      <c r="B6" s="10">
        <v>251.53247752938401</v>
      </c>
      <c r="C6" s="10">
        <v>212.22257320024801</v>
      </c>
      <c r="D6" s="10">
        <v>161.86046276319499</v>
      </c>
    </row>
    <row r="7" spans="1:13" ht="15" customHeight="1" x14ac:dyDescent="0.2">
      <c r="A7" s="3" t="s">
        <v>362</v>
      </c>
      <c r="B7" s="10">
        <v>330.70071783366501</v>
      </c>
      <c r="C7" s="10">
        <v>278.86772783355701</v>
      </c>
      <c r="D7" s="10">
        <v>212.668621911332</v>
      </c>
    </row>
    <row r="8" spans="1:13" ht="15" customHeight="1" x14ac:dyDescent="0.2">
      <c r="A8" s="3" t="s">
        <v>16</v>
      </c>
      <c r="B8" s="10">
        <v>106.255582033216</v>
      </c>
      <c r="C8" s="10">
        <v>80.358295058421206</v>
      </c>
      <c r="D8" s="10">
        <v>46.5060555821061</v>
      </c>
    </row>
    <row r="9" spans="1:13" ht="15" customHeight="1" x14ac:dyDescent="0.2">
      <c r="A9" s="3" t="s">
        <v>363</v>
      </c>
      <c r="B9" s="12">
        <v>0.48906726114489302</v>
      </c>
      <c r="C9" s="12">
        <v>0.43797457774776</v>
      </c>
      <c r="D9" s="12">
        <v>0.33227921957967399</v>
      </c>
    </row>
    <row r="10" spans="1:13" ht="15" customHeight="1" x14ac:dyDescent="0.2">
      <c r="A10" s="3" t="s">
        <v>364</v>
      </c>
      <c r="B10" s="10">
        <v>124.275814829027</v>
      </c>
      <c r="C10" s="10">
        <v>94.196790467027498</v>
      </c>
      <c r="D10" s="10">
        <v>55.144920469296103</v>
      </c>
    </row>
    <row r="11" spans="1:13" ht="15" customHeight="1" x14ac:dyDescent="0.2">
      <c r="A11" s="35" t="s">
        <v>17</v>
      </c>
      <c r="B11" s="36">
        <v>4.12000234974973</v>
      </c>
      <c r="C11" s="36">
        <v>4.9510358412339404</v>
      </c>
      <c r="D11" s="36">
        <v>7.1417371986286398</v>
      </c>
    </row>
    <row r="12" spans="1:13" ht="15" customHeight="1" x14ac:dyDescent="0.2">
      <c r="A12" s="3" t="s">
        <v>21</v>
      </c>
      <c r="B12" s="11">
        <v>3.12000234974973</v>
      </c>
      <c r="C12" s="11">
        <v>3.9510358412339399</v>
      </c>
      <c r="D12" s="11">
        <v>6.1417371986286398</v>
      </c>
    </row>
    <row r="13" spans="1:13" ht="15" customHeight="1" x14ac:dyDescent="0.2">
      <c r="A13" s="35" t="s">
        <v>18</v>
      </c>
      <c r="B13" s="37">
        <v>350.798869302735</v>
      </c>
      <c r="C13" s="37">
        <v>197.87062934704099</v>
      </c>
      <c r="D13" s="37">
        <v>2.6850012606689</v>
      </c>
    </row>
    <row r="14" spans="1:13" ht="15" customHeight="1" x14ac:dyDescent="0.2">
      <c r="A14" s="3" t="s">
        <v>365</v>
      </c>
      <c r="B14" s="10">
        <v>198.14853426935801</v>
      </c>
      <c r="C14" s="10">
        <v>82.937641967224494</v>
      </c>
      <c r="D14" s="10">
        <v>-63.482977878491603</v>
      </c>
    </row>
    <row r="15" spans="1:13" ht="15" customHeight="1" x14ac:dyDescent="0.2">
      <c r="A15" s="3" t="s">
        <v>19</v>
      </c>
      <c r="B15" s="12">
        <v>0.38884458570383701</v>
      </c>
      <c r="C15" s="12">
        <v>0.306109342738419</v>
      </c>
      <c r="D15" s="12">
        <v>0.18198976236259301</v>
      </c>
    </row>
    <row r="16" spans="1:13" ht="15" customHeight="1" x14ac:dyDescent="0.2">
      <c r="A16" s="3" t="s">
        <v>366</v>
      </c>
      <c r="B16" s="12">
        <v>0.344688625243177</v>
      </c>
      <c r="C16" s="12">
        <v>0.25329152716395997</v>
      </c>
      <c r="D16" s="12">
        <v>0.11592546362526</v>
      </c>
    </row>
    <row r="18" spans="1:13" ht="15" customHeight="1" x14ac:dyDescent="0.2">
      <c r="A18" s="4" t="s">
        <v>367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ht="15" customHeight="1" x14ac:dyDescent="0.2">
      <c r="A19" s="8" t="s">
        <v>71</v>
      </c>
      <c r="B19" s="8" t="s">
        <v>72</v>
      </c>
      <c r="C19" s="8" t="s">
        <v>73</v>
      </c>
      <c r="D19" s="8" t="s">
        <v>74</v>
      </c>
      <c r="E19" s="8" t="s">
        <v>75</v>
      </c>
      <c r="F19" s="8" t="s">
        <v>76</v>
      </c>
      <c r="G19" s="8" t="s">
        <v>77</v>
      </c>
      <c r="H19" s="8" t="s">
        <v>78</v>
      </c>
      <c r="I19" s="8" t="s">
        <v>79</v>
      </c>
      <c r="J19" s="8" t="s">
        <v>80</v>
      </c>
      <c r="K19" s="8" t="s">
        <v>81</v>
      </c>
    </row>
    <row r="20" spans="1:13" ht="15" customHeight="1" x14ac:dyDescent="0.2">
      <c r="A20" s="3" t="s">
        <v>368</v>
      </c>
      <c r="B20" s="10">
        <v>132.614919348987</v>
      </c>
      <c r="C20" s="10">
        <v>190.05142978321399</v>
      </c>
      <c r="D20" s="10">
        <v>217.26169481162</v>
      </c>
      <c r="E20" s="10">
        <v>235.945127093129</v>
      </c>
      <c r="F20" s="10">
        <v>251.53247752938401</v>
      </c>
      <c r="G20" s="10">
        <v>268.08870019152999</v>
      </c>
      <c r="H20" s="10">
        <v>285.671713926069</v>
      </c>
      <c r="I20" s="10">
        <v>299.95529962237202</v>
      </c>
      <c r="J20" s="10">
        <v>314.95306460349099</v>
      </c>
      <c r="K20" s="10">
        <v>330.70071783366501</v>
      </c>
    </row>
    <row r="21" spans="1:13" ht="15" customHeight="1" x14ac:dyDescent="0.2">
      <c r="A21" s="3" t="s">
        <v>369</v>
      </c>
      <c r="B21" s="10">
        <v>53.9001092930515</v>
      </c>
      <c r="C21" s="10">
        <v>91.6430609149145</v>
      </c>
      <c r="D21" s="10">
        <v>106.255582033216</v>
      </c>
      <c r="E21" s="10">
        <v>116.53767454222501</v>
      </c>
      <c r="F21" s="10">
        <v>124.275814829027</v>
      </c>
      <c r="G21" s="10">
        <v>132.477403580622</v>
      </c>
      <c r="H21" s="10">
        <v>141.168229230104</v>
      </c>
      <c r="I21" s="10">
        <v>147.140878007965</v>
      </c>
      <c r="J21" s="10">
        <v>153.34542509069701</v>
      </c>
      <c r="K21" s="10">
        <v>159.78935015939001</v>
      </c>
    </row>
    <row r="22" spans="1:13" ht="15" customHeight="1" x14ac:dyDescent="0.2">
      <c r="A22" s="3" t="s">
        <v>370</v>
      </c>
      <c r="B22" s="10">
        <v>52.573960099561603</v>
      </c>
      <c r="C22" s="10">
        <v>86.058018617082396</v>
      </c>
      <c r="D22" s="10">
        <v>100.3984370851</v>
      </c>
      <c r="E22" s="10">
        <v>105.037811547386</v>
      </c>
      <c r="F22" s="10">
        <v>112.149896750995</v>
      </c>
      <c r="G22" s="10">
        <v>119.77737428997899</v>
      </c>
      <c r="H22" s="10">
        <v>127.859842143997</v>
      </c>
      <c r="I22" s="10">
        <v>133.41440550740799</v>
      </c>
      <c r="J22" s="10">
        <v>139.184634294348</v>
      </c>
      <c r="K22" s="10">
        <v>145.17748460823299</v>
      </c>
    </row>
    <row r="23" spans="1:13" ht="15" customHeight="1" x14ac:dyDescent="0.2">
      <c r="A23" s="3" t="s">
        <v>371</v>
      </c>
      <c r="B23" s="10">
        <v>110.109353469818</v>
      </c>
      <c r="C23" s="10">
        <v>157.85139138223599</v>
      </c>
      <c r="D23" s="10">
        <v>183.477076390268</v>
      </c>
      <c r="E23" s="10">
        <v>199.127408504546</v>
      </c>
      <c r="F23" s="10">
        <v>212.22257320024801</v>
      </c>
      <c r="G23" s="10">
        <v>226.12943584425901</v>
      </c>
      <c r="H23" s="10">
        <v>240.89642831967001</v>
      </c>
      <c r="I23" s="10">
        <v>252.941249735653</v>
      </c>
      <c r="J23" s="10">
        <v>265.588312222436</v>
      </c>
      <c r="K23" s="10">
        <v>278.86772783355701</v>
      </c>
    </row>
    <row r="24" spans="1:13" ht="15" customHeight="1" x14ac:dyDescent="0.2">
      <c r="A24" s="3" t="s">
        <v>372</v>
      </c>
      <c r="B24" s="10">
        <v>38.097713813389802</v>
      </c>
      <c r="C24" s="10">
        <v>66.443858255810795</v>
      </c>
      <c r="D24" s="10">
        <v>80.358295058421206</v>
      </c>
      <c r="E24" s="10">
        <v>88.3422628808827</v>
      </c>
      <c r="F24" s="10">
        <v>94.196790467027498</v>
      </c>
      <c r="G24" s="10">
        <v>100.39830401854699</v>
      </c>
      <c r="H24" s="10">
        <v>106.96574508418099</v>
      </c>
      <c r="I24" s="10">
        <v>111.26192293874099</v>
      </c>
      <c r="J24" s="10">
        <v>115.708194749046</v>
      </c>
      <c r="K24" s="10">
        <v>120.308071130553</v>
      </c>
    </row>
    <row r="25" spans="1:13" ht="15" customHeight="1" x14ac:dyDescent="0.2">
      <c r="A25" s="3" t="s">
        <v>373</v>
      </c>
      <c r="B25" s="10">
        <v>36.996620278691601</v>
      </c>
      <c r="C25" s="10">
        <v>61.180816341988397</v>
      </c>
      <c r="D25" s="10">
        <v>74.838996294518495</v>
      </c>
      <c r="E25" s="10">
        <v>82.666460795837295</v>
      </c>
      <c r="F25" s="10">
        <v>84.176404094335595</v>
      </c>
      <c r="G25" s="10">
        <v>89.943811697249103</v>
      </c>
      <c r="H25" s="10">
        <v>96.051531888287897</v>
      </c>
      <c r="I25" s="10">
        <v>100.046977293029</v>
      </c>
      <c r="J25" s="10">
        <v>104.182010076612</v>
      </c>
      <c r="K25" s="10">
        <v>108.459895111414</v>
      </c>
    </row>
    <row r="26" spans="1:13" ht="15" customHeight="1" x14ac:dyDescent="0.2">
      <c r="A26" s="3" t="s">
        <v>374</v>
      </c>
      <c r="B26" s="10">
        <v>83.990116532334596</v>
      </c>
      <c r="C26" s="10">
        <v>120.384503679445</v>
      </c>
      <c r="D26" s="10">
        <v>139.96077046568001</v>
      </c>
      <c r="E26" s="10">
        <v>151.88093249298601</v>
      </c>
      <c r="F26" s="10">
        <v>161.86046276319499</v>
      </c>
      <c r="G26" s="10">
        <v>172.45824372919401</v>
      </c>
      <c r="H26" s="10">
        <v>183.711151634884</v>
      </c>
      <c r="I26" s="10">
        <v>192.89670921662801</v>
      </c>
      <c r="J26" s="10">
        <v>202.541544677459</v>
      </c>
      <c r="K26" s="10">
        <v>212.668621911332</v>
      </c>
    </row>
    <row r="27" spans="1:13" ht="15" customHeight="1" x14ac:dyDescent="0.2">
      <c r="A27" s="3" t="s">
        <v>375</v>
      </c>
      <c r="B27" s="10">
        <v>18.116806273373399</v>
      </c>
      <c r="C27" s="10">
        <v>40.317145528086598</v>
      </c>
      <c r="D27" s="10">
        <v>46.5060555821061</v>
      </c>
      <c r="E27" s="10">
        <v>51.657858020825699</v>
      </c>
      <c r="F27" s="10">
        <v>55.144920469296103</v>
      </c>
      <c r="G27" s="10">
        <v>58.835813703517502</v>
      </c>
      <c r="H27" s="10">
        <v>62.7412028622213</v>
      </c>
      <c r="I27" s="10">
        <v>64.871024651010302</v>
      </c>
      <c r="J27" s="10">
        <v>67.045314854975004</v>
      </c>
      <c r="K27" s="10">
        <v>69.262464348307901</v>
      </c>
    </row>
    <row r="28" spans="1:13" ht="15" customHeight="1" x14ac:dyDescent="0.2">
      <c r="A28" s="3" t="s">
        <v>376</v>
      </c>
      <c r="B28" s="10">
        <v>17.276905108049998</v>
      </c>
      <c r="C28" s="10">
        <v>35.428772491292101</v>
      </c>
      <c r="D28" s="10">
        <v>41.421919877449298</v>
      </c>
      <c r="E28" s="10">
        <v>46.454520695895901</v>
      </c>
      <c r="F28" s="10">
        <v>49.8417878416641</v>
      </c>
      <c r="G28" s="10">
        <v>53.426703266225502</v>
      </c>
      <c r="H28" s="10">
        <v>54.922707621865797</v>
      </c>
      <c r="I28" s="10">
        <v>56.903441885439598</v>
      </c>
      <c r="J28" s="10">
        <v>58.9255317751267</v>
      </c>
      <c r="K28" s="10">
        <v>60.987480803926402</v>
      </c>
    </row>
    <row r="30" spans="1:13" ht="15" customHeight="1" x14ac:dyDescent="0.2">
      <c r="A30" s="3" t="s">
        <v>377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48"/>
  <sheetViews>
    <sheetView zoomScaleNormal="100" workbookViewId="0">
      <selection activeCell="A38" sqref="A38"/>
    </sheetView>
  </sheetViews>
  <sheetFormatPr baseColWidth="10" defaultColWidth="8.6640625" defaultRowHeight="15" x14ac:dyDescent="0.2"/>
  <cols>
    <col min="1" max="1" width="9" customWidth="1"/>
    <col min="2" max="2" width="5.83203125" customWidth="1"/>
    <col min="3" max="3" width="5.6640625" customWidth="1"/>
    <col min="4" max="4" width="7.5" customWidth="1"/>
    <col min="5" max="5" width="8" customWidth="1"/>
    <col min="6" max="6" width="7.5" customWidth="1"/>
    <col min="7" max="7" width="6.1640625" customWidth="1"/>
    <col min="8" max="8" width="7.1640625" customWidth="1"/>
    <col min="9" max="9" width="9" customWidth="1"/>
    <col min="10" max="10" width="8.5" customWidth="1"/>
    <col min="11" max="11" width="7.33203125" customWidth="1"/>
    <col min="12" max="12" width="10.6640625" customWidth="1"/>
  </cols>
  <sheetData>
    <row r="1" spans="1:13" ht="15.75" customHeight="1" x14ac:dyDescent="0.2">
      <c r="A1" s="1" t="s">
        <v>378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3" spans="1:13" ht="15" customHeight="1" x14ac:dyDescent="0.2">
      <c r="A3" s="3" t="s">
        <v>379</v>
      </c>
    </row>
    <row r="4" spans="1:13" ht="15" customHeight="1" x14ac:dyDescent="0.2">
      <c r="A4" s="3" t="s">
        <v>380</v>
      </c>
    </row>
    <row r="6" spans="1:13" ht="15" customHeight="1" x14ac:dyDescent="0.2">
      <c r="A6" s="34" t="s">
        <v>381</v>
      </c>
      <c r="B6" s="34" t="s">
        <v>105</v>
      </c>
      <c r="C6" s="34" t="s">
        <v>382</v>
      </c>
      <c r="D6" s="34" t="s">
        <v>383</v>
      </c>
      <c r="E6" s="34" t="s">
        <v>384</v>
      </c>
      <c r="F6" s="34" t="s">
        <v>385</v>
      </c>
      <c r="G6" s="34" t="s">
        <v>386</v>
      </c>
      <c r="H6" s="34" t="s">
        <v>387</v>
      </c>
      <c r="I6" s="34" t="s">
        <v>388</v>
      </c>
      <c r="J6" s="34" t="s">
        <v>389</v>
      </c>
      <c r="K6" s="34" t="s">
        <v>390</v>
      </c>
      <c r="L6" s="34" t="s">
        <v>391</v>
      </c>
    </row>
    <row r="7" spans="1:13" ht="15" customHeight="1" x14ac:dyDescent="0.2">
      <c r="A7" s="38">
        <v>2</v>
      </c>
      <c r="B7" s="38">
        <v>0</v>
      </c>
      <c r="C7" s="38">
        <v>10</v>
      </c>
      <c r="D7" s="38">
        <v>2</v>
      </c>
      <c r="E7" s="38">
        <v>1662</v>
      </c>
      <c r="F7" s="10">
        <v>243.21119999999999</v>
      </c>
      <c r="G7" s="11">
        <v>4.8446807284726603</v>
      </c>
      <c r="H7" s="10">
        <v>213.79767542691701</v>
      </c>
      <c r="I7" s="12">
        <v>0.31761080429093203</v>
      </c>
      <c r="J7" s="10">
        <v>96.2221012607841</v>
      </c>
      <c r="K7" s="10">
        <v>183.96785755057499</v>
      </c>
      <c r="L7" s="7" t="s">
        <v>392</v>
      </c>
    </row>
    <row r="8" spans="1:13" ht="15" customHeight="1" x14ac:dyDescent="0.2">
      <c r="A8" s="38">
        <v>2</v>
      </c>
      <c r="B8" s="38">
        <v>1</v>
      </c>
      <c r="C8" s="38">
        <v>9</v>
      </c>
      <c r="D8" s="38">
        <v>2</v>
      </c>
      <c r="E8" s="38">
        <v>1699</v>
      </c>
      <c r="F8" s="10">
        <v>245.37119999999999</v>
      </c>
      <c r="G8" s="11">
        <v>4.8534876596429797</v>
      </c>
      <c r="H8" s="10">
        <v>213.84991073499401</v>
      </c>
      <c r="I8" s="12">
        <v>0.31666858402037201</v>
      </c>
      <c r="J8" s="10">
        <v>96.611108593417995</v>
      </c>
      <c r="K8" s="10">
        <v>184.248319225465</v>
      </c>
    </row>
    <row r="9" spans="1:13" ht="15" customHeight="1" x14ac:dyDescent="0.2">
      <c r="A9" s="38">
        <v>3</v>
      </c>
      <c r="B9" s="38">
        <v>0</v>
      </c>
      <c r="C9" s="38">
        <v>8</v>
      </c>
      <c r="D9" s="38">
        <v>2</v>
      </c>
      <c r="E9" s="38">
        <v>1673</v>
      </c>
      <c r="F9" s="10">
        <v>246.01920000000001</v>
      </c>
      <c r="G9" s="11">
        <v>4.8761171879825298</v>
      </c>
      <c r="H9" s="10">
        <v>209.03469428868499</v>
      </c>
      <c r="I9" s="12">
        <v>0.31404266486348198</v>
      </c>
      <c r="J9" s="10">
        <v>95.660096051237602</v>
      </c>
      <c r="K9" s="10">
        <v>183.93839518925799</v>
      </c>
    </row>
    <row r="10" spans="1:13" ht="15" customHeight="1" x14ac:dyDescent="0.2">
      <c r="A10" s="38">
        <v>3</v>
      </c>
      <c r="B10" s="38">
        <v>1</v>
      </c>
      <c r="C10" s="38">
        <v>7</v>
      </c>
      <c r="D10" s="38">
        <v>2</v>
      </c>
      <c r="E10" s="38">
        <v>1710</v>
      </c>
      <c r="F10" s="10">
        <v>248.17920000000001</v>
      </c>
      <c r="G10" s="11">
        <v>4.8865157127176504</v>
      </c>
      <c r="H10" s="10">
        <v>208.828591402607</v>
      </c>
      <c r="I10" s="12">
        <v>0.31298934707817999</v>
      </c>
      <c r="J10" s="10">
        <v>95.995644208768397</v>
      </c>
      <c r="K10" s="10">
        <v>184.153375223213</v>
      </c>
    </row>
    <row r="11" spans="1:13" ht="15" customHeight="1" x14ac:dyDescent="0.2">
      <c r="A11" s="38">
        <v>2</v>
      </c>
      <c r="B11" s="38">
        <v>0</v>
      </c>
      <c r="C11" s="38">
        <v>9</v>
      </c>
      <c r="D11" s="38">
        <v>5</v>
      </c>
      <c r="E11" s="38">
        <v>1702</v>
      </c>
      <c r="F11" s="10">
        <v>244.03200000000001</v>
      </c>
      <c r="G11" s="11">
        <v>4.8968426624581598</v>
      </c>
      <c r="H11" s="10">
        <v>206.54203599876601</v>
      </c>
      <c r="I11" s="12">
        <v>0.313100562939856</v>
      </c>
      <c r="J11" s="10">
        <v>95.061279441679204</v>
      </c>
      <c r="K11" s="10">
        <v>189.199983089152</v>
      </c>
    </row>
    <row r="12" spans="1:13" ht="15" customHeight="1" x14ac:dyDescent="0.2">
      <c r="A12" s="38">
        <v>4</v>
      </c>
      <c r="B12" s="38">
        <v>0</v>
      </c>
      <c r="C12" s="38">
        <v>6</v>
      </c>
      <c r="D12" s="38">
        <v>2</v>
      </c>
      <c r="E12" s="38">
        <v>1684</v>
      </c>
      <c r="F12" s="10">
        <v>248.8272</v>
      </c>
      <c r="G12" s="11">
        <v>4.91119774040612</v>
      </c>
      <c r="H12" s="10">
        <v>203.77118178053701</v>
      </c>
      <c r="I12" s="12">
        <v>0.31023410750579999</v>
      </c>
      <c r="J12" s="10">
        <v>94.994417319016407</v>
      </c>
      <c r="K12" s="10">
        <v>183.785979082388</v>
      </c>
    </row>
    <row r="13" spans="1:13" ht="15" customHeight="1" x14ac:dyDescent="0.2">
      <c r="A13" s="39">
        <v>5</v>
      </c>
      <c r="B13" s="39">
        <v>0</v>
      </c>
      <c r="C13" s="39">
        <v>4</v>
      </c>
      <c r="D13" s="39">
        <v>2</v>
      </c>
      <c r="E13" s="39">
        <v>1695</v>
      </c>
      <c r="F13" s="37">
        <v>251.6352</v>
      </c>
      <c r="G13" s="36">
        <v>4.9510358412339404</v>
      </c>
      <c r="H13" s="37">
        <v>197.87062934704099</v>
      </c>
      <c r="I13" s="40">
        <v>0.306109342738419</v>
      </c>
      <c r="J13" s="37">
        <v>94.196790467027498</v>
      </c>
      <c r="K13" s="37">
        <v>183.477076390268</v>
      </c>
      <c r="L13" s="41" t="s">
        <v>393</v>
      </c>
    </row>
    <row r="14" spans="1:13" ht="15" customHeight="1" x14ac:dyDescent="0.2">
      <c r="A14" s="38">
        <v>2</v>
      </c>
      <c r="B14" s="38">
        <v>0</v>
      </c>
      <c r="C14" s="38">
        <v>9</v>
      </c>
      <c r="D14" s="38">
        <v>4</v>
      </c>
      <c r="E14" s="38">
        <v>1652</v>
      </c>
      <c r="F14" s="10">
        <v>243.68639999999999</v>
      </c>
      <c r="G14" s="11">
        <v>4.9870238239198796</v>
      </c>
      <c r="H14" s="10">
        <v>193.45684972394699</v>
      </c>
      <c r="I14" s="12">
        <v>0.30572682952409203</v>
      </c>
      <c r="J14" s="10">
        <v>92.397048761264102</v>
      </c>
      <c r="K14" s="10">
        <v>184.0915425195</v>
      </c>
    </row>
    <row r="15" spans="1:13" ht="15" customHeight="1" x14ac:dyDescent="0.2">
      <c r="A15" s="38">
        <v>2</v>
      </c>
      <c r="B15" s="38">
        <v>1</v>
      </c>
      <c r="C15" s="38">
        <v>8</v>
      </c>
      <c r="D15" s="38">
        <v>4</v>
      </c>
      <c r="E15" s="38">
        <v>1689</v>
      </c>
      <c r="F15" s="10">
        <v>245.84639999999999</v>
      </c>
      <c r="G15" s="11">
        <v>4.9937255996416603</v>
      </c>
      <c r="H15" s="10">
        <v>193.79787681222601</v>
      </c>
      <c r="I15" s="12">
        <v>0.30502595047041198</v>
      </c>
      <c r="J15" s="10">
        <v>92.846383026293296</v>
      </c>
      <c r="K15" s="10">
        <v>184.42214936145001</v>
      </c>
    </row>
    <row r="16" spans="1:13" ht="15" customHeight="1" x14ac:dyDescent="0.2">
      <c r="A16" s="38">
        <v>3</v>
      </c>
      <c r="B16" s="38">
        <v>0</v>
      </c>
      <c r="C16" s="38">
        <v>7</v>
      </c>
      <c r="D16" s="38">
        <v>4</v>
      </c>
      <c r="E16" s="38">
        <v>1663</v>
      </c>
      <c r="F16" s="10">
        <v>246.49440000000001</v>
      </c>
      <c r="G16" s="11">
        <v>5.0169944022121999</v>
      </c>
      <c r="H16" s="10">
        <v>189.19025451657001</v>
      </c>
      <c r="I16" s="12">
        <v>0.30247027932482101</v>
      </c>
      <c r="J16" s="10">
        <v>91.938411353459898</v>
      </c>
      <c r="K16" s="10">
        <v>184.1614871292</v>
      </c>
    </row>
    <row r="17" spans="1:12" ht="15" customHeight="1" x14ac:dyDescent="0.2">
      <c r="A17" s="38">
        <v>3</v>
      </c>
      <c r="B17" s="38">
        <v>1</v>
      </c>
      <c r="C17" s="38">
        <v>6</v>
      </c>
      <c r="D17" s="38">
        <v>4</v>
      </c>
      <c r="E17" s="38">
        <v>1700</v>
      </c>
      <c r="F17" s="10">
        <v>248.65440000000001</v>
      </c>
      <c r="G17" s="11">
        <v>5.0246965492119102</v>
      </c>
      <c r="H17" s="10">
        <v>189.353213864943</v>
      </c>
      <c r="I17" s="12">
        <v>0.30169741342830297</v>
      </c>
      <c r="J17" s="10">
        <v>92.350990590250603</v>
      </c>
      <c r="K17" s="10">
        <v>184.443153390139</v>
      </c>
    </row>
    <row r="18" spans="1:12" ht="15" customHeight="1" x14ac:dyDescent="0.2">
      <c r="A18" s="38">
        <v>2</v>
      </c>
      <c r="B18" s="38">
        <v>0</v>
      </c>
      <c r="C18" s="38">
        <v>8</v>
      </c>
      <c r="D18" s="38">
        <v>7</v>
      </c>
      <c r="E18" s="38">
        <v>1692</v>
      </c>
      <c r="F18" s="10">
        <v>244.50720000000001</v>
      </c>
      <c r="G18" s="11">
        <v>5.04795470254503</v>
      </c>
      <c r="H18" s="10">
        <v>185.408201608306</v>
      </c>
      <c r="I18" s="12">
        <v>0.30073896781744502</v>
      </c>
      <c r="J18" s="10">
        <v>91.070436724922104</v>
      </c>
      <c r="K18" s="10">
        <v>189.191484175699</v>
      </c>
    </row>
    <row r="19" spans="1:12" ht="15" customHeight="1" x14ac:dyDescent="0.2">
      <c r="A19" s="38">
        <v>4</v>
      </c>
      <c r="B19" s="38">
        <v>0</v>
      </c>
      <c r="C19" s="38">
        <v>5</v>
      </c>
      <c r="D19" s="38">
        <v>4</v>
      </c>
      <c r="E19" s="38">
        <v>1674</v>
      </c>
      <c r="F19" s="10">
        <v>249.30240000000001</v>
      </c>
      <c r="G19" s="11">
        <v>5.0497471184393801</v>
      </c>
      <c r="H19" s="10">
        <v>184.53799741863401</v>
      </c>
      <c r="I19" s="12">
        <v>0.29902978270180203</v>
      </c>
      <c r="J19" s="10">
        <v>91.399978048070196</v>
      </c>
      <c r="K19" s="10">
        <v>184.133229353931</v>
      </c>
    </row>
    <row r="20" spans="1:12" ht="15" customHeight="1" x14ac:dyDescent="0.2">
      <c r="A20" s="38">
        <v>4</v>
      </c>
      <c r="B20" s="38">
        <v>1</v>
      </c>
      <c r="C20" s="38">
        <v>4</v>
      </c>
      <c r="D20" s="38">
        <v>4</v>
      </c>
      <c r="E20" s="38">
        <v>1711</v>
      </c>
      <c r="F20" s="10">
        <v>251.4624</v>
      </c>
      <c r="G20" s="11">
        <v>5.0590595613141502</v>
      </c>
      <c r="H20" s="10">
        <v>184.461072579567</v>
      </c>
      <c r="I20" s="12">
        <v>0.29815142512287501</v>
      </c>
      <c r="J20" s="10">
        <v>91.763026760450501</v>
      </c>
      <c r="K20" s="10">
        <v>184.34961473827499</v>
      </c>
      <c r="L20" s="7" t="s">
        <v>394</v>
      </c>
    </row>
    <row r="21" spans="1:12" ht="15" customHeight="1" x14ac:dyDescent="0.2">
      <c r="A21" s="38">
        <v>3</v>
      </c>
      <c r="B21" s="38">
        <v>0</v>
      </c>
      <c r="C21" s="38">
        <v>6</v>
      </c>
      <c r="D21" s="38">
        <v>7</v>
      </c>
      <c r="E21" s="38">
        <v>1703</v>
      </c>
      <c r="F21" s="10">
        <v>247.3152</v>
      </c>
      <c r="G21" s="11">
        <v>5.0741736503004597</v>
      </c>
      <c r="H21" s="10">
        <v>181.75468852294</v>
      </c>
      <c r="I21" s="12">
        <v>0.297850056267846</v>
      </c>
      <c r="J21" s="10">
        <v>90.739285190100205</v>
      </c>
      <c r="K21" s="10">
        <v>189.39165521544899</v>
      </c>
    </row>
    <row r="22" spans="1:12" ht="15" customHeight="1" x14ac:dyDescent="0.2">
      <c r="A22" s="38">
        <v>2</v>
      </c>
      <c r="B22" s="38">
        <v>0</v>
      </c>
      <c r="C22" s="38">
        <v>9</v>
      </c>
      <c r="D22" s="38">
        <v>3</v>
      </c>
      <c r="E22" s="38">
        <v>1602</v>
      </c>
      <c r="F22" s="10">
        <v>243.3408</v>
      </c>
      <c r="G22" s="11">
        <v>5.08270329597251</v>
      </c>
      <c r="H22" s="10">
        <v>180.13702012771401</v>
      </c>
      <c r="I22" s="12">
        <v>0.298116825132967</v>
      </c>
      <c r="J22" s="10">
        <v>89.683802448277703</v>
      </c>
      <c r="K22" s="10">
        <v>178.942359001613</v>
      </c>
    </row>
    <row r="23" spans="1:12" ht="15" customHeight="1" x14ac:dyDescent="0.2">
      <c r="A23" s="38">
        <v>5</v>
      </c>
      <c r="B23" s="38">
        <v>0</v>
      </c>
      <c r="C23" s="38">
        <v>3</v>
      </c>
      <c r="D23" s="38">
        <v>4</v>
      </c>
      <c r="E23" s="38">
        <v>1685</v>
      </c>
      <c r="F23" s="10">
        <v>252.1104</v>
      </c>
      <c r="G23" s="11">
        <v>5.0863920280628303</v>
      </c>
      <c r="H23" s="10">
        <v>179.40366295749601</v>
      </c>
      <c r="I23" s="12">
        <v>0.295350910270191</v>
      </c>
      <c r="J23" s="10">
        <v>90.761799870698596</v>
      </c>
      <c r="K23" s="10">
        <v>183.98221859744999</v>
      </c>
    </row>
    <row r="24" spans="1:12" ht="15" customHeight="1" x14ac:dyDescent="0.2">
      <c r="A24" s="38">
        <v>2</v>
      </c>
      <c r="B24" s="38">
        <v>1</v>
      </c>
      <c r="C24" s="38">
        <v>8</v>
      </c>
      <c r="D24" s="38">
        <v>3</v>
      </c>
      <c r="E24" s="38">
        <v>1639</v>
      </c>
      <c r="F24" s="10">
        <v>245.5008</v>
      </c>
      <c r="G24" s="11">
        <v>5.0899195629529697</v>
      </c>
      <c r="H24" s="10">
        <v>180.34841453126501</v>
      </c>
      <c r="I24" s="12">
        <v>0.29739557894087099</v>
      </c>
      <c r="J24" s="10">
        <v>90.106116167663501</v>
      </c>
      <c r="K24" s="10">
        <v>179.24805387150599</v>
      </c>
    </row>
    <row r="25" spans="1:12" ht="15" customHeight="1" x14ac:dyDescent="0.2">
      <c r="A25" s="38">
        <v>2</v>
      </c>
      <c r="B25" s="38">
        <v>2</v>
      </c>
      <c r="C25" s="38">
        <v>7</v>
      </c>
      <c r="D25" s="38">
        <v>3</v>
      </c>
      <c r="E25" s="38">
        <v>1676</v>
      </c>
      <c r="F25" s="10">
        <v>247.66079999999999</v>
      </c>
      <c r="G25" s="11">
        <v>5.09701992174422</v>
      </c>
      <c r="H25" s="10">
        <v>180.57019043233501</v>
      </c>
      <c r="I25" s="12">
        <v>0.29669035722779902</v>
      </c>
      <c r="J25" s="10">
        <v>90.530736123976297</v>
      </c>
      <c r="K25" s="10">
        <v>179.549944737581</v>
      </c>
    </row>
    <row r="26" spans="1:12" ht="15" customHeight="1" x14ac:dyDescent="0.2">
      <c r="A26" s="38">
        <v>3</v>
      </c>
      <c r="B26" s="38">
        <v>0</v>
      </c>
      <c r="C26" s="38">
        <v>7</v>
      </c>
      <c r="D26" s="38">
        <v>3</v>
      </c>
      <c r="E26" s="38">
        <v>1613</v>
      </c>
      <c r="F26" s="10">
        <v>246.14879999999999</v>
      </c>
      <c r="G26" s="11">
        <v>5.1163460329487798</v>
      </c>
      <c r="H26" s="10">
        <v>175.53319808495601</v>
      </c>
      <c r="I26" s="12">
        <v>0.29468324183762501</v>
      </c>
      <c r="J26" s="10">
        <v>89.155103625483093</v>
      </c>
      <c r="K26" s="10">
        <v>178.93812983529801</v>
      </c>
    </row>
    <row r="27" spans="1:12" ht="15" customHeight="1" x14ac:dyDescent="0.2">
      <c r="A27" s="38">
        <v>3</v>
      </c>
      <c r="B27" s="38">
        <v>1</v>
      </c>
      <c r="C27" s="38">
        <v>6</v>
      </c>
      <c r="D27" s="38">
        <v>3</v>
      </c>
      <c r="E27" s="38">
        <v>1650</v>
      </c>
      <c r="F27" s="10">
        <v>248.30879999999999</v>
      </c>
      <c r="G27" s="11">
        <v>5.1251731457585601</v>
      </c>
      <c r="H27" s="10">
        <v>175.51278081026501</v>
      </c>
      <c r="I27" s="12">
        <v>0.29385903807935798</v>
      </c>
      <c r="J27" s="10">
        <v>89.529509234224406</v>
      </c>
      <c r="K27" s="10">
        <v>179.18254859675599</v>
      </c>
    </row>
    <row r="28" spans="1:12" ht="15" customHeight="1" x14ac:dyDescent="0.2">
      <c r="A28" s="38">
        <v>3</v>
      </c>
      <c r="B28" s="38">
        <v>2</v>
      </c>
      <c r="C28" s="38">
        <v>5</v>
      </c>
      <c r="D28" s="38">
        <v>3</v>
      </c>
      <c r="E28" s="38">
        <v>1687</v>
      </c>
      <c r="F28" s="10">
        <v>250.46879999999999</v>
      </c>
      <c r="G28" s="11">
        <v>5.1341846895918604</v>
      </c>
      <c r="H28" s="10">
        <v>175.461541227732</v>
      </c>
      <c r="I28" s="12">
        <v>0.29302874122183298</v>
      </c>
      <c r="J28" s="10">
        <v>89.897720172223302</v>
      </c>
      <c r="K28" s="10">
        <v>179.411676425243</v>
      </c>
    </row>
    <row r="29" spans="1:12" ht="15" customHeight="1" x14ac:dyDescent="0.2">
      <c r="A29" s="38">
        <v>2</v>
      </c>
      <c r="B29" s="38">
        <v>0</v>
      </c>
      <c r="C29" s="38">
        <v>8</v>
      </c>
      <c r="D29" s="38">
        <v>6</v>
      </c>
      <c r="E29" s="38">
        <v>1642</v>
      </c>
      <c r="F29" s="10">
        <v>244.16159999999999</v>
      </c>
      <c r="G29" s="11">
        <v>5.1429679083667299</v>
      </c>
      <c r="H29" s="10">
        <v>172.62274716941701</v>
      </c>
      <c r="I29" s="12">
        <v>0.293389183888071</v>
      </c>
      <c r="J29" s="10">
        <v>88.468857750701005</v>
      </c>
      <c r="K29" s="10">
        <v>184.13348059830901</v>
      </c>
    </row>
    <row r="30" spans="1:12" ht="15" customHeight="1" x14ac:dyDescent="0.2">
      <c r="A30" s="38">
        <v>2</v>
      </c>
      <c r="B30" s="38">
        <v>1</v>
      </c>
      <c r="C30" s="38">
        <v>7</v>
      </c>
      <c r="D30" s="38">
        <v>6</v>
      </c>
      <c r="E30" s="38">
        <v>1679</v>
      </c>
      <c r="F30" s="10">
        <v>246.32159999999999</v>
      </c>
      <c r="G30" s="11">
        <v>5.14751345312607</v>
      </c>
      <c r="H30" s="10">
        <v>173.18117534376901</v>
      </c>
      <c r="I30" s="12">
        <v>0.29289918634339601</v>
      </c>
      <c r="J30" s="10">
        <v>88.963599456403301</v>
      </c>
      <c r="K30" s="10">
        <v>184.50209679237</v>
      </c>
    </row>
    <row r="31" spans="1:12" ht="15" customHeight="1" x14ac:dyDescent="0.2">
      <c r="A31" s="38">
        <v>4</v>
      </c>
      <c r="B31" s="38">
        <v>0</v>
      </c>
      <c r="C31" s="38">
        <v>5</v>
      </c>
      <c r="D31" s="38">
        <v>3</v>
      </c>
      <c r="E31" s="38">
        <v>1624</v>
      </c>
      <c r="F31" s="10">
        <v>248.95679999999999</v>
      </c>
      <c r="G31" s="11">
        <v>5.1539969658241898</v>
      </c>
      <c r="H31" s="10">
        <v>170.45537118819399</v>
      </c>
      <c r="I31" s="12">
        <v>0.29101132176660499</v>
      </c>
      <c r="J31" s="10">
        <v>88.528282344472501</v>
      </c>
      <c r="K31" s="10">
        <v>178.81515245593101</v>
      </c>
    </row>
    <row r="32" spans="1:12" ht="15" customHeight="1" x14ac:dyDescent="0.2">
      <c r="A32" s="38">
        <v>4</v>
      </c>
      <c r="B32" s="38">
        <v>1</v>
      </c>
      <c r="C32" s="38">
        <v>4</v>
      </c>
      <c r="D32" s="38">
        <v>3</v>
      </c>
      <c r="E32" s="38">
        <v>1661</v>
      </c>
      <c r="F32" s="10">
        <v>251.11680000000001</v>
      </c>
      <c r="G32" s="11">
        <v>5.16502779591905</v>
      </c>
      <c r="H32" s="10">
        <v>170.14078625471399</v>
      </c>
      <c r="I32" s="12">
        <v>0.29005108225753501</v>
      </c>
      <c r="J32" s="10">
        <v>88.837149053523305</v>
      </c>
      <c r="K32" s="10">
        <v>178.97635870623401</v>
      </c>
    </row>
    <row r="33" spans="1:13" ht="15" customHeight="1" x14ac:dyDescent="0.2">
      <c r="A33" s="38">
        <v>3</v>
      </c>
      <c r="B33" s="38">
        <v>0</v>
      </c>
      <c r="C33" s="38">
        <v>6</v>
      </c>
      <c r="D33" s="38">
        <v>6</v>
      </c>
      <c r="E33" s="38">
        <v>1653</v>
      </c>
      <c r="F33" s="10">
        <v>246.96960000000001</v>
      </c>
      <c r="G33" s="11">
        <v>5.1718750099131698</v>
      </c>
      <c r="H33" s="10">
        <v>168.784815022309</v>
      </c>
      <c r="I33" s="12">
        <v>0.29041484720400101</v>
      </c>
      <c r="J33" s="10">
        <v>88.092929870337301</v>
      </c>
      <c r="K33" s="10">
        <v>184.28412812355</v>
      </c>
    </row>
    <row r="34" spans="1:13" ht="15" customHeight="1" x14ac:dyDescent="0.2">
      <c r="A34" s="38">
        <v>4</v>
      </c>
      <c r="B34" s="38">
        <v>2</v>
      </c>
      <c r="C34" s="38">
        <v>3</v>
      </c>
      <c r="D34" s="38">
        <v>3</v>
      </c>
      <c r="E34" s="38">
        <v>1698</v>
      </c>
      <c r="F34" s="10">
        <v>253.27680000000001</v>
      </c>
      <c r="G34" s="11">
        <v>5.1767027515958102</v>
      </c>
      <c r="H34" s="10">
        <v>169.735670801678</v>
      </c>
      <c r="I34" s="12">
        <v>0.28905278653587901</v>
      </c>
      <c r="J34" s="10">
        <v>89.126093844819394</v>
      </c>
      <c r="K34" s="10">
        <v>179.104102428038</v>
      </c>
    </row>
    <row r="35" spans="1:13" ht="15" customHeight="1" x14ac:dyDescent="0.2">
      <c r="A35" s="38">
        <v>3</v>
      </c>
      <c r="B35" s="38">
        <v>1</v>
      </c>
      <c r="C35" s="38">
        <v>5</v>
      </c>
      <c r="D35" s="38">
        <v>6</v>
      </c>
      <c r="E35" s="38">
        <v>1690</v>
      </c>
      <c r="F35" s="10">
        <v>249.12960000000001</v>
      </c>
      <c r="G35" s="11">
        <v>5.1771489197647398</v>
      </c>
      <c r="H35" s="10">
        <v>169.236381880153</v>
      </c>
      <c r="I35" s="12">
        <v>0.28988928257229302</v>
      </c>
      <c r="J35" s="10">
        <v>88.562693118969094</v>
      </c>
      <c r="K35" s="10">
        <v>184.61577894007499</v>
      </c>
    </row>
    <row r="36" spans="1:13" ht="15" customHeight="1" x14ac:dyDescent="0.2">
      <c r="A36" s="38">
        <v>2</v>
      </c>
      <c r="B36" s="38">
        <v>0</v>
      </c>
      <c r="C36" s="38">
        <v>9</v>
      </c>
      <c r="D36" s="38">
        <v>2</v>
      </c>
      <c r="E36" s="38">
        <v>1552</v>
      </c>
      <c r="F36" s="10">
        <v>242.99520000000001</v>
      </c>
      <c r="G36" s="11">
        <v>5.18606224716613</v>
      </c>
      <c r="H36" s="10">
        <v>166.60020958256399</v>
      </c>
      <c r="I36" s="12">
        <v>0.29027203851903999</v>
      </c>
      <c r="J36" s="10">
        <v>86.910229202896005</v>
      </c>
      <c r="K36" s="10">
        <v>173.743030316665</v>
      </c>
    </row>
    <row r="38" spans="1:13" ht="15" customHeight="1" x14ac:dyDescent="0.2">
      <c r="A38" s="4" t="s">
        <v>395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ht="15" customHeight="1" x14ac:dyDescent="0.2">
      <c r="A39" s="8" t="s">
        <v>396</v>
      </c>
      <c r="B39" s="8" t="s">
        <v>397</v>
      </c>
      <c r="D39" s="8" t="s">
        <v>398</v>
      </c>
      <c r="F39" s="8" t="s">
        <v>399</v>
      </c>
      <c r="H39" s="8" t="s">
        <v>400</v>
      </c>
    </row>
    <row r="40" spans="1:13" ht="15" customHeight="1" x14ac:dyDescent="0.2">
      <c r="A40" s="3" t="s">
        <v>401</v>
      </c>
      <c r="B40" s="11">
        <v>4.8446807284726603</v>
      </c>
      <c r="C40" s="10">
        <v>213.79767542691701</v>
      </c>
      <c r="D40" s="11">
        <v>5.4909370758381</v>
      </c>
      <c r="E40" s="10">
        <v>131.92882826778501</v>
      </c>
      <c r="F40" s="11">
        <v>6.7223138643956704</v>
      </c>
      <c r="G40" s="10">
        <v>30.8046374890842</v>
      </c>
      <c r="H40" s="7" t="s">
        <v>402</v>
      </c>
    </row>
    <row r="41" spans="1:13" ht="15" customHeight="1" x14ac:dyDescent="0.2">
      <c r="A41" s="3" t="s">
        <v>403</v>
      </c>
      <c r="B41" s="11">
        <v>4.8761171879825298</v>
      </c>
      <c r="C41" s="10">
        <v>209.03469428868499</v>
      </c>
      <c r="D41" s="11">
        <v>5.3812530109048096</v>
      </c>
      <c r="E41" s="10">
        <v>143.77813797558599</v>
      </c>
      <c r="F41" s="11">
        <v>6.4466898017432799</v>
      </c>
      <c r="G41" s="10">
        <v>49.228410848830897</v>
      </c>
      <c r="H41" s="7" t="s">
        <v>404</v>
      </c>
    </row>
    <row r="42" spans="1:13" ht="15" customHeight="1" x14ac:dyDescent="0.2">
      <c r="A42" s="3" t="s">
        <v>405</v>
      </c>
      <c r="B42" s="11">
        <v>4.91119774040612</v>
      </c>
      <c r="C42" s="10">
        <v>203.77118178053701</v>
      </c>
      <c r="D42" s="11">
        <v>5.2821040727393598</v>
      </c>
      <c r="E42" s="10">
        <v>155.01846664022199</v>
      </c>
      <c r="F42" s="11">
        <v>6.2032620007029999</v>
      </c>
      <c r="G42" s="10">
        <v>67.053121754659102</v>
      </c>
      <c r="H42" s="7" t="s">
        <v>406</v>
      </c>
    </row>
    <row r="43" spans="1:13" ht="15" customHeight="1" x14ac:dyDescent="0.2">
      <c r="A43" s="26" t="s">
        <v>407</v>
      </c>
      <c r="B43" s="36">
        <v>4.9510358412339404</v>
      </c>
      <c r="C43" s="37">
        <v>197.87062934704099</v>
      </c>
      <c r="D43" s="36">
        <v>5.1936326175795999</v>
      </c>
      <c r="E43" s="37">
        <v>165.483728522647</v>
      </c>
      <c r="F43" s="36">
        <v>5.9887884203174497</v>
      </c>
      <c r="G43" s="37">
        <v>84.469182760624506</v>
      </c>
      <c r="H43" s="41" t="s">
        <v>408</v>
      </c>
    </row>
    <row r="44" spans="1:13" ht="15" customHeight="1" x14ac:dyDescent="0.2">
      <c r="A44" s="3" t="s">
        <v>409</v>
      </c>
      <c r="B44" s="11">
        <v>5.0590595613141502</v>
      </c>
      <c r="C44" s="10">
        <v>184.461072579567</v>
      </c>
      <c r="D44" s="11">
        <v>5.3150876628452304</v>
      </c>
      <c r="E44" s="10">
        <v>152.13023660689899</v>
      </c>
      <c r="F44" s="11">
        <v>6.0349274962336104</v>
      </c>
      <c r="G44" s="10">
        <v>81.592700738305993</v>
      </c>
      <c r="H44" s="7" t="s">
        <v>410</v>
      </c>
    </row>
    <row r="45" spans="1:13" ht="15" customHeight="1" x14ac:dyDescent="0.2">
      <c r="A45" s="3" t="s">
        <v>411</v>
      </c>
      <c r="B45" s="11">
        <v>4.8968426624581598</v>
      </c>
      <c r="C45" s="10">
        <v>206.54203599876601</v>
      </c>
      <c r="D45" s="11">
        <v>5.4884251972799296</v>
      </c>
      <c r="E45" s="10">
        <v>132.34347764853999</v>
      </c>
      <c r="F45" s="11">
        <v>6.5866620947086103</v>
      </c>
      <c r="G45" s="10">
        <v>40.270115778464103</v>
      </c>
      <c r="H45" s="7" t="s">
        <v>412</v>
      </c>
    </row>
    <row r="47" spans="1:13" ht="15" customHeight="1" x14ac:dyDescent="0.2">
      <c r="A47" s="8" t="s">
        <v>413</v>
      </c>
    </row>
    <row r="48" spans="1:13" ht="15" customHeight="1" x14ac:dyDescent="0.2">
      <c r="A48" s="3" t="s">
        <v>414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Сводка</vt:lpstr>
      <vt:lpstr>Допущения</vt:lpstr>
      <vt:lpstr>CAPEX</vt:lpstr>
      <vt:lpstr>Персонал</vt:lpstr>
      <vt:lpstr>Выручка</vt:lpstr>
      <vt:lpstr>OPEX</vt:lpstr>
      <vt:lpstr>PL</vt:lpstr>
      <vt:lpstr>ДДС</vt:lpstr>
      <vt:lpstr>Сценарии</vt:lpstr>
      <vt:lpstr>Оптимизация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67</cp:lastModifiedBy>
  <cp:revision>0</cp:revision>
  <dcterms:created xsi:type="dcterms:W3CDTF">2026-06-12T13:23:17Z</dcterms:created>
  <dcterms:modified xsi:type="dcterms:W3CDTF">2026-06-16T13:56:21Z</dcterms:modified>
  <dc:language>en-US</dc:language>
</cp:coreProperties>
</file>